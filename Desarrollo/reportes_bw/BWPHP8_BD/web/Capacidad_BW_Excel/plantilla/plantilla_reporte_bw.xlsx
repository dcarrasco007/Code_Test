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BAA352CF-3444-47E0-8800-190412EBFFB5}" xr6:coauthVersionLast="47" xr6:coauthVersionMax="47" xr10:uidLastSave="{00000000-0000-0000-0000-000000000000}"/>
  <bookViews>
    <workbookView xWindow="-108" yWindow="-108" windowWidth="23256" windowHeight="12456" tabRatio="455" xr2:uid="{00000000-000D-0000-FFFF-FFFF00000000}"/>
  </bookViews>
  <sheets>
    <sheet name="Reporte BW 2026" sheetId="2" r:id="rId1"/>
    <sheet name="Hoja3" sheetId="5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<sst xmlns="http://schemas.openxmlformats.org/spreadsheetml/2006/main" count="1367" uniqueCount="487">
  <si>
    <t>PE-com</t>
  </si>
  <si>
    <t>Capacidad (Gbps)</t>
  </si>
  <si>
    <t>% Uplink</t>
  </si>
  <si>
    <t>OLT</t>
  </si>
  <si>
    <t>Capacidad Gbps</t>
  </si>
  <si>
    <t>LA FLORIDA</t>
  </si>
  <si>
    <t>OLT-ROJASMAGALLANESPCS-1</t>
  </si>
  <si>
    <t>OLT-LOSJARDINESPCS-1</t>
  </si>
  <si>
    <t>OLT-LASPERDICESPCS-1</t>
  </si>
  <si>
    <t>OLT-MALLTOBALABAPCS-1</t>
  </si>
  <si>
    <t>MAIPU</t>
  </si>
  <si>
    <t>OLT-3PONIENTEPCS-1</t>
  </si>
  <si>
    <t>OLT-CALLEJONDELOSPERROS2PCS-1</t>
  </si>
  <si>
    <t>QUILICURA</t>
  </si>
  <si>
    <t>OLT-QUILICURA-1</t>
  </si>
  <si>
    <t>D. URZUA</t>
  </si>
  <si>
    <t>OLT-DURZUA-1</t>
  </si>
  <si>
    <t>OLT-DURZUA-10</t>
  </si>
  <si>
    <t>OLT-DURZUA-11</t>
  </si>
  <si>
    <t>OLT-DURZUA-2</t>
  </si>
  <si>
    <t>OLT-DURZUA-3</t>
  </si>
  <si>
    <t>OLT-DURZUA-4</t>
  </si>
  <si>
    <t>OLT-DURZUA-5</t>
  </si>
  <si>
    <t>OLT-DURZUA-8</t>
  </si>
  <si>
    <t>LAS CONDES</t>
  </si>
  <si>
    <t>OLT-LASCONDES-1</t>
  </si>
  <si>
    <t>OLT-LASCONDES-2</t>
  </si>
  <si>
    <t>OLT-LASCONDES-3</t>
  </si>
  <si>
    <t>OLT-MALLSPORT-1</t>
  </si>
  <si>
    <t>OLT-MALLSPORT-2</t>
  </si>
  <si>
    <t>OLT-PARQUETITANIUM-2</t>
  </si>
  <si>
    <t>OLT-NUNOA-3</t>
  </si>
  <si>
    <t>OLT-SIMONBOLIVARPCS-2</t>
  </si>
  <si>
    <t>STA ELENA</t>
  </si>
  <si>
    <t>COSTANERA</t>
  </si>
  <si>
    <t>OLT-COSTANERA-1</t>
  </si>
  <si>
    <t>OLT-COSTANERA-2</t>
  </si>
  <si>
    <t>OLT-COSTANERA-3</t>
  </si>
  <si>
    <t>OLT-COSTANERA-4</t>
  </si>
  <si>
    <t>VITACURA</t>
  </si>
  <si>
    <t>OLT-VITACURA-1</t>
  </si>
  <si>
    <t>METRO-CNT</t>
  </si>
  <si>
    <t>PFORESTAL</t>
  </si>
  <si>
    <t>OLT-CALLELIRCAYPCS-1</t>
  </si>
  <si>
    <t>OLT-PFORESTAL-1</t>
  </si>
  <si>
    <t>HUECHURABA</t>
  </si>
  <si>
    <t>OLT-HUECHURABA-2</t>
  </si>
  <si>
    <t>OLT-IQUIQUE-2</t>
  </si>
  <si>
    <t>OLT-ZOFRI-1</t>
  </si>
  <si>
    <t>CALAMA</t>
  </si>
  <si>
    <t>RANCAGUA</t>
  </si>
  <si>
    <t>CURICO</t>
  </si>
  <si>
    <t>OLT-CURICO-1</t>
  </si>
  <si>
    <t>TALCA</t>
  </si>
  <si>
    <t>CONCEPCION</t>
  </si>
  <si>
    <t>OSORNO</t>
  </si>
  <si>
    <t>OLT-OSORNO-1</t>
  </si>
  <si>
    <t>COPIAPO</t>
  </si>
  <si>
    <t>OLT-COPIAPO-1</t>
  </si>
  <si>
    <t>RECREO</t>
  </si>
  <si>
    <t>OLT-NVA13NORTE-3</t>
  </si>
  <si>
    <t>OLT-NVAARLEGUI-1</t>
  </si>
  <si>
    <t>OLT-RECREO-3</t>
  </si>
  <si>
    <t>VALDIVIA</t>
  </si>
  <si>
    <t>OLT-VALDIVIA-1</t>
  </si>
  <si>
    <t>PE3-CDLV</t>
  </si>
  <si>
    <t>OLT-MCCDLVALLEPCS-1</t>
  </si>
  <si>
    <t>ANTOFAGASTA</t>
  </si>
  <si>
    <t>LA SERENA</t>
  </si>
  <si>
    <t>OLT-NVASANANTONIO-1</t>
  </si>
  <si>
    <t>CHILLAN</t>
  </si>
  <si>
    <t>SANTA JUANA</t>
  </si>
  <si>
    <t>OLT-SANTAJUANAPCS-1</t>
  </si>
  <si>
    <t>LOS ANGELES</t>
  </si>
  <si>
    <t>OLT-LOSANGELES-1</t>
  </si>
  <si>
    <t>CARDONAL</t>
  </si>
  <si>
    <t>OLT-CARDONAL-1</t>
  </si>
  <si>
    <t>OLT-ANFIONMUNOZ-1</t>
  </si>
  <si>
    <t>TEMUCO</t>
  </si>
  <si>
    <t>LAUTARO</t>
  </si>
  <si>
    <t>OLT-LAUTARO-1</t>
  </si>
  <si>
    <t>PUERTO VARAS</t>
  </si>
  <si>
    <t>OLT-PUERTOVARAS-1</t>
  </si>
  <si>
    <t>Tráfico Gbps</t>
  </si>
  <si>
    <t>Tráfico (Gbps)</t>
  </si>
  <si>
    <t>ÑUÑOA</t>
  </si>
  <si>
    <t>ANFIOMUÑOZ</t>
  </si>
  <si>
    <t>OLT-LAFLORIDA-2</t>
  </si>
  <si>
    <t>OLT-MAIPU-3</t>
  </si>
  <si>
    <t>OLT-TEMPLOVOTIVOPCS-2</t>
  </si>
  <si>
    <t>OLT-CONCON2PCS-2</t>
  </si>
  <si>
    <t>OLT-AVPDTEBATLLEPCS-2</t>
  </si>
  <si>
    <t>OLT-QUILICURA2PCS-1</t>
  </si>
  <si>
    <t>OLT-GRANAVENIDAPCS-1</t>
  </si>
  <si>
    <t>OLT-SANJOSEDELAESTRELLAPCS-1</t>
  </si>
  <si>
    <t>OLT-CNT-5</t>
  </si>
  <si>
    <t>OLT-CNT-6</t>
  </si>
  <si>
    <t>OLT-CVELBOSQUEPCS-1</t>
  </si>
  <si>
    <t>OLT-ROJASMAGALLANESPCS-2</t>
  </si>
  <si>
    <t>OLT-CHICUREO3PCS-1</t>
  </si>
  <si>
    <t>OLT-LOSQUILLAYESPCS-1</t>
  </si>
  <si>
    <t>OLT-RENACANORTEPCS-1</t>
  </si>
  <si>
    <t>OLT-QUILICURA-2</t>
  </si>
  <si>
    <t>OLT-GRALBONILLAPCS-2</t>
  </si>
  <si>
    <t>OLT-TEMPLOVOTIVOPCS-3</t>
  </si>
  <si>
    <t>OLT-CNT-7</t>
  </si>
  <si>
    <t>OLT-CNT-8</t>
  </si>
  <si>
    <t>OLT-GRANAVENIDAPCS-2</t>
  </si>
  <si>
    <t>OLT-QUILPUEPCS-1</t>
  </si>
  <si>
    <t>OLT-ELENCUENTROPCS-2</t>
  </si>
  <si>
    <t>OLT-LASCONDES-7</t>
  </si>
  <si>
    <t>OLT-DRRENEANZIETAPCS-2</t>
  </si>
  <si>
    <t>OLT-LATADIAPCS-2</t>
  </si>
  <si>
    <t>OLT-SBOTICELLI-1</t>
  </si>
  <si>
    <t>OLT-PJARAQUEMADA-1</t>
  </si>
  <si>
    <t>OLT-VILLAALEMANA-1</t>
  </si>
  <si>
    <t>OLT-VILLAALEMANA-2</t>
  </si>
  <si>
    <t>OLT-QUILPUEPCS-2</t>
  </si>
  <si>
    <t>OLT-QUILPUEPCS-3</t>
  </si>
  <si>
    <t>OLT-PJARAQUEMADA-2</t>
  </si>
  <si>
    <t>OLT-NUNOA-4</t>
  </si>
  <si>
    <t>OLT-NVACURAUMA-1</t>
  </si>
  <si>
    <t>OLT-TEMUCO-2</t>
  </si>
  <si>
    <t>OLT-CLAMONTANAPCS-1</t>
  </si>
  <si>
    <t>OLT-ANTOFAGASTA-2</t>
  </si>
  <si>
    <t>OLT-CHILLAN-2</t>
  </si>
  <si>
    <t>OLT-LOSJARDINESPCS-2</t>
  </si>
  <si>
    <t>OLT-GRANAVENIDAPCS-3</t>
  </si>
  <si>
    <t>OLT-COLON-2</t>
  </si>
  <si>
    <t>PUERTO MONTT</t>
  </si>
  <si>
    <t>OLT-PUENTEALTO-2</t>
  </si>
  <si>
    <t>OLT-SANTAELENA-2</t>
  </si>
  <si>
    <t>OLT-SANTAELENA-3</t>
  </si>
  <si>
    <t>OLT-LASERENA-1</t>
  </si>
  <si>
    <t>OLT-CONCEPCION-3</t>
  </si>
  <si>
    <t>OLT-BOMBEROSCOLLAO-1</t>
  </si>
  <si>
    <t>OLT-CONCEPCION-4</t>
  </si>
  <si>
    <t>OLT-HERNANCIUDADPCS-2</t>
  </si>
  <si>
    <t>OLT-RANCAGUA-3</t>
  </si>
  <si>
    <t>OLT-HERNANCIUDADPCS-3</t>
  </si>
  <si>
    <t>OLT-RANCAGUA-4</t>
  </si>
  <si>
    <t>OLT-SBOTICELLI-2</t>
  </si>
  <si>
    <t>OLT-ALTOPENUELAS-2</t>
  </si>
  <si>
    <t>OLT-COQUIMBO-2</t>
  </si>
  <si>
    <t>OLT-ESTRELLADELSUR-1</t>
  </si>
  <si>
    <t>OLT-GRALBONILLAPCS-3</t>
  </si>
  <si>
    <t>OLT-PADREHURTADOPCS-1</t>
  </si>
  <si>
    <t>OLT-AVPHURTADONORTEPCS-2</t>
  </si>
  <si>
    <t>OLT-CALAMA-3</t>
  </si>
  <si>
    <t>OLT-CALAMA-4</t>
  </si>
  <si>
    <t>OLT-TEMUCOPONIENTEPCS-1</t>
  </si>
  <si>
    <t>OLT-CINCOPINOSPCS-1</t>
  </si>
  <si>
    <t>OLT-CVELBOSQUEPCS-2</t>
  </si>
  <si>
    <t>OLT-SIMONBOLIVARPCS-3</t>
  </si>
  <si>
    <t>OLT-TALCASWPCS-1</t>
  </si>
  <si>
    <t>OLT-TALCASWPCS-2</t>
  </si>
  <si>
    <t>OLT-VALPARAISO-2</t>
  </si>
  <si>
    <t>OLT-NUNOA-5</t>
  </si>
  <si>
    <t>OLT-AVPDTEBATLLEPCS-3</t>
  </si>
  <si>
    <t>OLT-AVDELMARPCS-1</t>
  </si>
  <si>
    <t>OLT-AVDELMARPCS-2</t>
  </si>
  <si>
    <t>OLT-LCARRERA-3</t>
  </si>
  <si>
    <t>OLT-SSBERNARDOPCS-1</t>
  </si>
  <si>
    <t>OLT-BUIN-1</t>
  </si>
  <si>
    <t>OLT-INDEPENDENCIA-1</t>
  </si>
  <si>
    <t>SAN ANTONIO</t>
  </si>
  <si>
    <t>OLT-AVDACOLONPCS-1</t>
  </si>
  <si>
    <t>OLT-LOSLIRIOSPCS-1</t>
  </si>
  <si>
    <t>OLT-LOSLIRIOSPCS-2</t>
  </si>
  <si>
    <t>OLT-NVATALCAHUANO-1</t>
  </si>
  <si>
    <t>OLT-PENCOPCS-2</t>
  </si>
  <si>
    <t>OLT-LASCONDES-8</t>
  </si>
  <si>
    <t>OLT-TOME2PCS-2</t>
  </si>
  <si>
    <t>OLT-ECACORDOVAPCS-2</t>
  </si>
  <si>
    <t>OLT-PARQUETITANIUM-3</t>
  </si>
  <si>
    <t>OLT-TALCAORIENTEPCS-1</t>
  </si>
  <si>
    <t>OLT-CALAMA-5</t>
  </si>
  <si>
    <t>OLT-COQUIMBO-3</t>
  </si>
  <si>
    <t>OLT-CNT-9</t>
  </si>
  <si>
    <t>OLT-SANPEDRO3PCS-2</t>
  </si>
  <si>
    <t>OLT-VITACURA-5</t>
  </si>
  <si>
    <t>OLT-DURZUA-12</t>
  </si>
  <si>
    <t>OLT-VITACURA-4</t>
  </si>
  <si>
    <t>OLT-NVA13NORTE-4</t>
  </si>
  <si>
    <t>OLT-PAINE-1</t>
  </si>
  <si>
    <t>OLT-AORIENTALNORPCS-1</t>
  </si>
  <si>
    <t>PE8-VALPO</t>
  </si>
  <si>
    <t>OLT-LAFARFANAPCS-3</t>
  </si>
  <si>
    <t>PE6-IQUIQUE</t>
  </si>
  <si>
    <t>Lunes 29 de Diciembre</t>
  </si>
  <si>
    <t>Martes 30 de Diciembre</t>
  </si>
  <si>
    <t>Miercoles 31 de Diciembre</t>
  </si>
  <si>
    <t>Jueves 1 de Enero</t>
  </si>
  <si>
    <t>Viernes 2 de Enero</t>
  </si>
  <si>
    <t>Sábado 3 de Enero</t>
  </si>
  <si>
    <t>Domingo 4 de Enero</t>
  </si>
  <si>
    <t>Lunes 5 de Enero</t>
  </si>
  <si>
    <t>Martes 6 de Enero</t>
  </si>
  <si>
    <t>Miercoles 7 de Enero</t>
  </si>
  <si>
    <t>Jueves 8 de Enero</t>
  </si>
  <si>
    <t>Viernes 9 de Enero</t>
  </si>
  <si>
    <t>Sábado 10 de Enero</t>
  </si>
  <si>
    <t>Domingo 11 de Enero</t>
  </si>
  <si>
    <t>Lunes 12 de Enero</t>
  </si>
  <si>
    <t>Martes 13 de Enero</t>
  </si>
  <si>
    <t>Miercoles 14 de Enero</t>
  </si>
  <si>
    <t>Jueves 15 de Enero</t>
  </si>
  <si>
    <t>Viernes 16 de Enero</t>
  </si>
  <si>
    <t>Sábado 17 de Enero</t>
  </si>
  <si>
    <t>Domingo 18 de Enero</t>
  </si>
  <si>
    <t>Lunes 19 de Enero</t>
  </si>
  <si>
    <t>Martes 20 de Enero</t>
  </si>
  <si>
    <t>Miercoles 21 de Enero</t>
  </si>
  <si>
    <t>Jueves 22 de Enero</t>
  </si>
  <si>
    <t>Viernes 23 de Enero</t>
  </si>
  <si>
    <t>Sábado 24 de Enero</t>
  </si>
  <si>
    <t>Domingo 25 de Enero</t>
  </si>
  <si>
    <t>Martes 27 de Enero</t>
  </si>
  <si>
    <t>Miercoles 28 de Enero</t>
  </si>
  <si>
    <t>Jueves 29 de Enero</t>
  </si>
  <si>
    <t>Viernes 30 de Enero</t>
  </si>
  <si>
    <t>Sábado 31 de Enero</t>
  </si>
  <si>
    <t>Domingo 1 de Febrero</t>
  </si>
  <si>
    <t>Lunes 26 de Enero</t>
  </si>
  <si>
    <t>Lunes 2 de Febrero</t>
  </si>
  <si>
    <t>Martes 3 de Febrero</t>
  </si>
  <si>
    <t>Miercoles 4 de Febrero</t>
  </si>
  <si>
    <t>Jueves 5 de Febrero</t>
  </si>
  <si>
    <t>Viernes 6 de Febrero</t>
  </si>
  <si>
    <t>Sábado 7 de Febrero</t>
  </si>
  <si>
    <t>Domingo 8 de Febrero</t>
  </si>
  <si>
    <t>Lunes 9 de Febrero</t>
  </si>
  <si>
    <t>Martes 10 de Febrero</t>
  </si>
  <si>
    <t>Miercoles 11 de Febrero</t>
  </si>
  <si>
    <t>Jueves 12 de Febrero</t>
  </si>
  <si>
    <t>Viernes 13 de Febrero</t>
  </si>
  <si>
    <t>Sábado 14 de Febrero</t>
  </si>
  <si>
    <t>Domingo 15 de Febrero</t>
  </si>
  <si>
    <t>Lunes 16 de Febrero</t>
  </si>
  <si>
    <t>Martes 17 de Febrero</t>
  </si>
  <si>
    <t>Miercoles 18 de Febrero</t>
  </si>
  <si>
    <t>Jueves 19 de Febrero</t>
  </si>
  <si>
    <t>Viernes 20 de Febrero</t>
  </si>
  <si>
    <t>Sábado 21 de Febrero</t>
  </si>
  <si>
    <t>Domingo 22 de Febrero</t>
  </si>
  <si>
    <t>Lunes 23 de Febrero</t>
  </si>
  <si>
    <t>Martes 24 de Febrero</t>
  </si>
  <si>
    <t>Miercoles 25 de Febrero</t>
  </si>
  <si>
    <t>Jueves 26 de Febrero</t>
  </si>
  <si>
    <t>Viernes 27 de Febrero</t>
  </si>
  <si>
    <t>Sábado 28 de Febrero</t>
  </si>
  <si>
    <t>Lunes 02 de Marzo</t>
  </si>
  <si>
    <t>Martes 03 de Marzo</t>
  </si>
  <si>
    <t>Miercoles 04 de Marzo</t>
  </si>
  <si>
    <t>Jueves 05 de Marzo</t>
  </si>
  <si>
    <t>Viernes 06 de Marzo</t>
  </si>
  <si>
    <t>Sábado 07 de Marzo</t>
  </si>
  <si>
    <t>Domingo 08 de Marzo</t>
  </si>
  <si>
    <t>Domingo 01 de Marzo</t>
  </si>
  <si>
    <t>Lunes 09 de Marzo</t>
  </si>
  <si>
    <t>Martes 10 de Marzo</t>
  </si>
  <si>
    <t>Miercoles 11 de Marzo</t>
  </si>
  <si>
    <t>Jueves 12 de Marzo</t>
  </si>
  <si>
    <t>Viernes 13 de Marzo</t>
  </si>
  <si>
    <t>Sábado 14 de Marzo</t>
  </si>
  <si>
    <t>Domingo 15 de Marzo</t>
  </si>
  <si>
    <t>Lunes 16 de Marzo</t>
  </si>
  <si>
    <t>Martes 17 de Marzo</t>
  </si>
  <si>
    <t>Miercoles 18 de Marzo</t>
  </si>
  <si>
    <t>Jueves 19 de Marzo</t>
  </si>
  <si>
    <t>Viernes 20 de Marzo</t>
  </si>
  <si>
    <t>Sábado 21 de Marzo</t>
  </si>
  <si>
    <t>Domingo 22 de Marzo</t>
  </si>
  <si>
    <t>Lunes 23 de Marzo</t>
  </si>
  <si>
    <t>Martes 24 de Marzo</t>
  </si>
  <si>
    <t>Miercoles 25 de Marzo</t>
  </si>
  <si>
    <t>Jueves 26 de Marzo</t>
  </si>
  <si>
    <t>Viernes 27 de Marzo</t>
  </si>
  <si>
    <t>Sábado 28 de Marzo</t>
  </si>
  <si>
    <t>Domingo 29 de Marzo</t>
  </si>
  <si>
    <t>Lunes 30 de Marzo</t>
  </si>
  <si>
    <t>Martes 31 de Marzo</t>
  </si>
  <si>
    <t>Miercoles 1 de Abril</t>
  </si>
  <si>
    <t>Jueves 2 de Abril</t>
  </si>
  <si>
    <t>Viernes 3 de Abril</t>
  </si>
  <si>
    <t>Sábado 4 de Abril</t>
  </si>
  <si>
    <t>Domingo 5 de Abril</t>
  </si>
  <si>
    <t>Lunes 6 de Abril</t>
  </si>
  <si>
    <t>Martes 7 de Abril</t>
  </si>
  <si>
    <t>Miercoles 8 de Abril</t>
  </si>
  <si>
    <t>Jueves 9 de Abril</t>
  </si>
  <si>
    <t>Viernes 10 de Abril</t>
  </si>
  <si>
    <t>Sábado 11 de Abril</t>
  </si>
  <si>
    <t>Domingo 12 de Abril</t>
  </si>
  <si>
    <t>Lunes 13 de Abril</t>
  </si>
  <si>
    <t>Martes 14 de Abril</t>
  </si>
  <si>
    <t>Miercoles 15 de Abril</t>
  </si>
  <si>
    <t>Jueves 16 de Abril</t>
  </si>
  <si>
    <t>Viernes 17 de Abril</t>
  </si>
  <si>
    <t>Sábado 18 de Abril</t>
  </si>
  <si>
    <t>Domingo 19 de Abril</t>
  </si>
  <si>
    <t>Lunes 20 de Abril</t>
  </si>
  <si>
    <t>Martes 21 de Abril</t>
  </si>
  <si>
    <t>Miercoles 22 de Abril</t>
  </si>
  <si>
    <t>Jueves 23 de Abril</t>
  </si>
  <si>
    <t>Viernes 24 de Abril</t>
  </si>
  <si>
    <t>Sábado 25 de Abril</t>
  </si>
  <si>
    <t>Domingo 26 de Abril</t>
  </si>
  <si>
    <t>Lunes 27 de Abril</t>
  </si>
  <si>
    <t>Martes 28 de Abril</t>
  </si>
  <si>
    <t>Miercoles 29 de Abril</t>
  </si>
  <si>
    <t>Jueves 30 de Abril</t>
  </si>
  <si>
    <t>Viernes 1 de Mayo</t>
  </si>
  <si>
    <t>Sábado 2 de Mayo</t>
  </si>
  <si>
    <t>Domingo 3 de Mayo</t>
  </si>
  <si>
    <t>Lunes 4 de Mayo</t>
  </si>
  <si>
    <t>Martes 5 de Mayo</t>
  </si>
  <si>
    <t>Miercoles 6 de Mayo</t>
  </si>
  <si>
    <t>Jueves 7 de Mayo</t>
  </si>
  <si>
    <t>Viernes 8 de Mayo</t>
  </si>
  <si>
    <t>Sábado 9 de Mayo</t>
  </si>
  <si>
    <t>Domingo 10 de Mayo</t>
  </si>
  <si>
    <t>Lunes 11 de Mayo</t>
  </si>
  <si>
    <t>Martes 12 de Mayo</t>
  </si>
  <si>
    <t>Miercoles 13 de Mayo</t>
  </si>
  <si>
    <t>Jueves 14 de Mayo</t>
  </si>
  <si>
    <t>Viernes 15 de Mayo</t>
  </si>
  <si>
    <t>Sábado 16 de Mayo</t>
  </si>
  <si>
    <t>Domingo 17 de Mayo</t>
  </si>
  <si>
    <t>Lunes 18 de Mayo</t>
  </si>
  <si>
    <t>Martes 19 de Mayo</t>
  </si>
  <si>
    <t>Miercoles 20 de Mayo</t>
  </si>
  <si>
    <t>Jueves 21 de Mayo</t>
  </si>
  <si>
    <t>Viernes 22 de Mayo</t>
  </si>
  <si>
    <t>Sábado 23 de Mayo</t>
  </si>
  <si>
    <t>Domingo 24 de Mayo</t>
  </si>
  <si>
    <t>Lunes 25 de Mayo</t>
  </si>
  <si>
    <t>Martes 26 de Mayo</t>
  </si>
  <si>
    <t>Miercoles 27 de Mayo</t>
  </si>
  <si>
    <t>Jueves 28 de Mayo</t>
  </si>
  <si>
    <t>Viernes 29 de Mayo</t>
  </si>
  <si>
    <t>Sábado 30 de Mayo</t>
  </si>
  <si>
    <t>Domingo 31 de Mayo</t>
  </si>
  <si>
    <t>Lunes 1 de Junio</t>
  </si>
  <si>
    <t>Martes 2 de Junio</t>
  </si>
  <si>
    <t>Miercoles 3 de Junio</t>
  </si>
  <si>
    <t>Jueves 4 de Junio</t>
  </si>
  <si>
    <t>Viernes 5 de Junio</t>
  </si>
  <si>
    <t>Sábado 6 de Junio</t>
  </si>
  <si>
    <t>Domingo 7 de Junio</t>
  </si>
  <si>
    <t>Lunes 8 de Junio</t>
  </si>
  <si>
    <t>Martes 9 de Junio</t>
  </si>
  <si>
    <t>Miercoles 10 de Junio</t>
  </si>
  <si>
    <t>Jueves 11 de Junio</t>
  </si>
  <si>
    <t>Viernes 12 de Junio</t>
  </si>
  <si>
    <t>Sábado 13 de Junio</t>
  </si>
  <si>
    <t>Domingo 14 de Junio</t>
  </si>
  <si>
    <t>Lunes 15 de Junio</t>
  </si>
  <si>
    <t>Martes 16 de Junio</t>
  </si>
  <si>
    <t>Miercoles 17 de Junio</t>
  </si>
  <si>
    <t>Jueves 18 de Junio</t>
  </si>
  <si>
    <t>Viernes 19 de Junio</t>
  </si>
  <si>
    <t>Sábado 20 de Junio</t>
  </si>
  <si>
    <t>Domingo 21 de Junio</t>
  </si>
  <si>
    <t>Lunes 22 de Junio</t>
  </si>
  <si>
    <t>Martes 23 de Junio</t>
  </si>
  <si>
    <t>Miercoles 24 de Junio</t>
  </si>
  <si>
    <t>Jueves 25 de Junio</t>
  </si>
  <si>
    <t>Viernes 26 de Junio</t>
  </si>
  <si>
    <t>Sábado 27 de Junio</t>
  </si>
  <si>
    <t>Domingo 28 de Junio</t>
  </si>
  <si>
    <t>Lunes 29 de Junio</t>
  </si>
  <si>
    <t>Martes 30 de Junio</t>
  </si>
  <si>
    <t>Miercoles 1 de Julio</t>
  </si>
  <si>
    <t>Jueves 2 de Julio</t>
  </si>
  <si>
    <t>Viernes 3 de Julio</t>
  </si>
  <si>
    <t>Sábado 4 de Julio</t>
  </si>
  <si>
    <t>Domingo 5 de Julio</t>
  </si>
  <si>
    <t>Lunes 6 de Julio</t>
  </si>
  <si>
    <t>Martes 7 de Julio</t>
  </si>
  <si>
    <t>Miercoles 8 de Julio</t>
  </si>
  <si>
    <t>Jueves 9 de Julio</t>
  </si>
  <si>
    <t>Viernes 10 de Julio</t>
  </si>
  <si>
    <t>Sábado 11 de Julio</t>
  </si>
  <si>
    <t>Domingo 12 de Julio</t>
  </si>
  <si>
    <t>Lunes 13 de Julio</t>
  </si>
  <si>
    <t>Martes 14 de Julio</t>
  </si>
  <si>
    <t>Miercoles 15 de Julio</t>
  </si>
  <si>
    <t>Jueves 16 de Julio</t>
  </si>
  <si>
    <t>Viernes 17 de Julio</t>
  </si>
  <si>
    <t>Sábado 18 de Julio</t>
  </si>
  <si>
    <t>Domingo 19 de Julio</t>
  </si>
  <si>
    <t>Lunes 20 de Julio</t>
  </si>
  <si>
    <t>Martes 21 de Julio</t>
  </si>
  <si>
    <t>Miercoles 22 de Julio</t>
  </si>
  <si>
    <t>Jueves 23 de Julio</t>
  </si>
  <si>
    <t>Viernes 24 de Julio</t>
  </si>
  <si>
    <t>Sábado 25 de Julio</t>
  </si>
  <si>
    <t>Domingo 26 de Julio</t>
  </si>
  <si>
    <t>Lunes 27 de Julio</t>
  </si>
  <si>
    <t>Martes 28 de Julio</t>
  </si>
  <si>
    <t>Miercoles 29 de Julio</t>
  </si>
  <si>
    <t>Jueves 30 de Julio</t>
  </si>
  <si>
    <t>Viernes 31 de Julio</t>
  </si>
  <si>
    <t>Sábado 1 de Agosto</t>
  </si>
  <si>
    <t>Domingo 2 de Agosto</t>
  </si>
  <si>
    <t>Lunes 3 de Agosto</t>
  </si>
  <si>
    <t>Martes 4 de Agosto</t>
  </si>
  <si>
    <t>Miercoles 5 de Agosto</t>
  </si>
  <si>
    <t>Jueves 6 de Agosto</t>
  </si>
  <si>
    <t>Viernes 7 de Agosto</t>
  </si>
  <si>
    <t>Sábado 8 de Agosto</t>
  </si>
  <si>
    <t>Domingo 9 de Agosto</t>
  </si>
  <si>
    <t>Lunes 10 de Agosto</t>
  </si>
  <si>
    <t>Martes 11 de Agosto</t>
  </si>
  <si>
    <t>Miercoles 12 de Agosto</t>
  </si>
  <si>
    <t>Jueves 13 de Agosto</t>
  </si>
  <si>
    <t>Viernes 14 de Agosto</t>
  </si>
  <si>
    <t>Sábado 15 de Agosto</t>
  </si>
  <si>
    <t>Domingo 16 de Agosto</t>
  </si>
  <si>
    <t>Lunes 17 de Agosto</t>
  </si>
  <si>
    <t>Martes 18 de Agosto</t>
  </si>
  <si>
    <t>Miercoles 19 de Agosto</t>
  </si>
  <si>
    <t>Jueves 20 de Agosto</t>
  </si>
  <si>
    <t>Viernes 21 de Agosto</t>
  </si>
  <si>
    <t>Sábado 22 de Agosto</t>
  </si>
  <si>
    <t>Domingo 23 de Agosto</t>
  </si>
  <si>
    <t>Lunes 24 de Agosto</t>
  </si>
  <si>
    <t>Martes 25 de Agosto</t>
  </si>
  <si>
    <t>Miercoles 26 de Agosto</t>
  </si>
  <si>
    <t>Jueves 27 de Agosto</t>
  </si>
  <si>
    <t>Viernes 28 de Agosto</t>
  </si>
  <si>
    <t>Sábado 29 de Agosto</t>
  </si>
  <si>
    <t>Domingo 30 de Agosto</t>
  </si>
  <si>
    <t>Lunes 31 de Agosto</t>
  </si>
  <si>
    <t>Martes 1 de Septiembre</t>
  </si>
  <si>
    <t>Miercoles 2 de Septiembre</t>
  </si>
  <si>
    <t>Jueves 3 de Septiembre</t>
  </si>
  <si>
    <t>Viernes 4 de Septiembre</t>
  </si>
  <si>
    <t>Sábado 5 de Septiembre</t>
  </si>
  <si>
    <t>Domingo 6 de Septiembre</t>
  </si>
  <si>
    <t>Lunes 7 de Septiembre</t>
  </si>
  <si>
    <t>Martes 8 de Septiembre</t>
  </si>
  <si>
    <t>Miercoles 9 de Septiembre</t>
  </si>
  <si>
    <t>Jueves 10 de Septiembre</t>
  </si>
  <si>
    <t>Viernes 11 de Septiembre</t>
  </si>
  <si>
    <t>Sábado 12 de Septiembre</t>
  </si>
  <si>
    <t>Domingo 13 de Septiembre</t>
  </si>
  <si>
    <t>Lunes 14 de Septiembre</t>
  </si>
  <si>
    <t>Martes 15 de Septiembre</t>
  </si>
  <si>
    <t>Miercoles 16 de Septiembre</t>
  </si>
  <si>
    <t>Jueves 17 de Septiembre</t>
  </si>
  <si>
    <t>Viernes 18 de Septiembre</t>
  </si>
  <si>
    <t>Sábado 19 de Septiembre</t>
  </si>
  <si>
    <t>Domingo 20 de Septiembre</t>
  </si>
  <si>
    <t>Lunes 21 de Septiembre</t>
  </si>
  <si>
    <t>Martes 22 de Septiembre</t>
  </si>
  <si>
    <t>Miercoles 23 de Septiembre</t>
  </si>
  <si>
    <t>Jueves 24 de Septiembre</t>
  </si>
  <si>
    <t>Viernes 25 de Septiembre</t>
  </si>
  <si>
    <t>Sábado 26 de Septiembre</t>
  </si>
  <si>
    <t>Domingo 27 de Septiembre</t>
  </si>
  <si>
    <t>Lunes 28 de Septiembre</t>
  </si>
  <si>
    <t>Martes 29 de Septiembre</t>
  </si>
  <si>
    <t>Miercoles 30 de Septiembre</t>
  </si>
  <si>
    <t>Jueves 1 de Octubre</t>
  </si>
  <si>
    <t>Viernes 2 de Octubre</t>
  </si>
  <si>
    <t>Sábado 3 de Octubre</t>
  </si>
  <si>
    <t>Domingo 4 de Octubre</t>
  </si>
  <si>
    <t>Lunes 5 de Octubre</t>
  </si>
  <si>
    <t>Martes 6 de Octubre</t>
  </si>
  <si>
    <t>Miercoles 7 de Octubre</t>
  </si>
  <si>
    <t>Jueves 8 de Octubre</t>
  </si>
  <si>
    <t>Viernes 9 de Octubre</t>
  </si>
  <si>
    <t>Sábado 10 de Octubre</t>
  </si>
  <si>
    <t>Domingo 11 de Octubre</t>
  </si>
  <si>
    <t>Lunes 12 de Octubre</t>
  </si>
  <si>
    <t>Martes 13 de Octubre</t>
  </si>
  <si>
    <t>Miercoles 14 de Octubre</t>
  </si>
  <si>
    <t>Jueves 15 de Octubre</t>
  </si>
  <si>
    <t>Viernes 16 de Octubre</t>
  </si>
  <si>
    <t>Sábado 17 de Octubre</t>
  </si>
  <si>
    <t>Domingo 18 de Octubre</t>
  </si>
  <si>
    <t>OLT-DURZUA-15</t>
  </si>
  <si>
    <t>OLT-DURZUA-14</t>
  </si>
  <si>
    <t>OLT-DURZUA-13</t>
  </si>
  <si>
    <t>OLT-LASCONDES-9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</si>
</sst>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566FC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0" borderId="10" xfId="0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8" fillId="33" borderId="16" xfId="0" applyFont="1" applyFill="1" applyBorder="1" applyAlignment="1">
      <alignment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  <xf numFmtId="0" fontId="18" fillId="0" borderId="18" xfId="0" applyFont="1" applyBorder="1" applyAlignment="1">
      <alignment horizontal="center" vertical="center" wrapText="1"/>
    </xf>
    <xf numFmtId="10" fontId="0" fillId="34" borderId="15" xfId="0" applyNumberFormat="1" applyFill="1" applyBorder="1"/>
    <xf numFmtId="0" fontId="0" fillId="0" borderId="1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7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9" fontId="0" fillId="0" borderId="10" xfId="0" applyNumberForma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1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showGridLines="0" tabSelected="1" zoomScaleNormal="100" workbookViewId="0">
      <pane xSplit="4" ySplit="2" topLeftCell="E3" activePane="bottomRight" state="frozen"/>
      <selection pane="topRight" activeCell="F1" sqref="F1"/>
      <selection pane="bottomLeft" activeCell="A4" sqref="A4"/>
      <selection pane="bottomRight" activeCell="E2" sqref="E2:G2"/>
    </sheetView>
  </sheetViews>
  <sheetFormatPr baseColWidth="10" defaultRowHeight="14.4" x14ac:dyDescent="0.3"/>
  <cols>
    <col min="1" max="1" width="15" bestFit="1" customWidth="1"/>
    <col min="2" max="2" width="11.5546875" bestFit="1" customWidth="1"/>
    <col min="3" max="3" width="14.109375" bestFit="1" customWidth="1"/>
    <col min="4" max="4" width="32.6640625" bestFit="1" customWidth="1"/>
    <col min="5" max="5" width="11" customWidth="1"/>
    <col min="6" max="6" width="13" bestFit="1" customWidth="1"/>
    <col min="7" max="7" width="8.109375" bestFit="1" customWidth="1"/>
  </cols>
  <sheetData>
    <row r="1" ht="26.25" customHeight="1" thickBot="1" x14ac:dyDescent="0.35">
      <c r="A1" s="4" t="s">
        <v>0</v>
      </c>
      <c r="B1" s="5" t="s">
        <v>84</v>
      </c>
      <c r="C1" s="5" t="s">
        <v>1</v>
      </c>
      <c r="D1" s="6" t="s">
        <v>3</v>
      </c>
      <c r="E1" s="7" t="s">
        <v>83</v>
      </c>
      <c r="F1" s="7" t="s">
        <v>4</v>
      </c>
      <c r="G1" s="8" t="s">
        <v>2</v>
      </c>
    </row>
    <row r="2" x14ac:dyDescent="0.3">
      <c r="A2" s="2"/>
      <c r="B2" s="2"/>
      <c r="C2" s="2"/>
      <c r="D2" s="9"/>
      <c r="E2" s="23" t="s">
        <v>189</v>
      </c>
      <c r="F2" s="24"/>
      <c r="G2" s="25"/>
    </row>
    <row r="3" x14ac:dyDescent="0.3">
      <c r="A3" s="27" t="s">
        <v>5</v>
      </c>
      <c r="B3" s="27">
        <v>175352</v>
      </c>
      <c r="C3" s="27">
        <v>640000</v>
      </c>
      <c r="D3" s="13" t="s">
        <v>7</v>
      </c>
      <c r="E3" s="1">
        <v>24367</v>
      </c>
      <c r="F3" s="1">
        <v>100000</v>
      </c>
      <c r="G3" s="10">
        <f>+E3/F3</f>
        <v>0.24367</v>
      </c>
    </row>
    <row r="4" x14ac:dyDescent="0.3">
      <c r="A4" s="28"/>
      <c r="B4" s="28"/>
      <c r="C4" s="28"/>
      <c r="D4" s="12" t="s">
        <v>126</v>
      </c>
      <c r="E4" s="1">
        <v>12966</v>
      </c>
      <c r="F4" s="1">
        <v>100000</v>
      </c>
      <c r="G4" s="10">
        <f>+E4/F4</f>
        <v>0.12966</v>
      </c>
    </row>
    <row r="5" x14ac:dyDescent="0.3">
      <c r="A5" s="28"/>
      <c r="B5" s="28"/>
      <c r="C5" s="28"/>
      <c r="D5" s="12" t="s">
        <v>100</v>
      </c>
      <c r="E5" s="1">
        <v>22937</v>
      </c>
      <c r="F5" s="1">
        <v>100000</v>
      </c>
      <c r="G5" s="10">
        <f>+E5/F5</f>
        <v>0.22936999999999999</v>
      </c>
    </row>
    <row r="6" x14ac:dyDescent="0.3">
      <c r="A6" s="28"/>
      <c r="B6" s="28"/>
      <c r="C6" s="28"/>
      <c r="D6" s="13" t="s">
        <v>9</v>
      </c>
      <c r="E6" s="1">
        <v>12801</v>
      </c>
      <c r="F6" s="1">
        <v>100000</v>
      </c>
      <c r="G6" s="10">
        <f>+E6/F6</f>
        <v>0.12801000000000001</v>
      </c>
    </row>
    <row r="7" x14ac:dyDescent="0.3">
      <c r="A7" s="28"/>
      <c r="B7" s="28"/>
      <c r="C7" s="28"/>
      <c r="D7" s="14" t="s">
        <v>6</v>
      </c>
      <c r="E7" s="1">
        <v>33984</v>
      </c>
      <c r="F7" s="1">
        <v>100000</v>
      </c>
      <c r="G7" s="10">
        <f>+E7/F7</f>
        <v>0.33983999999999998</v>
      </c>
    </row>
    <row r="8" x14ac:dyDescent="0.3">
      <c r="A8" s="28"/>
      <c r="B8" s="28"/>
      <c r="C8" s="28"/>
      <c r="D8" s="12" t="s">
        <v>87</v>
      </c>
      <c r="E8" s="1">
        <v>11642</v>
      </c>
      <c r="F8" s="1">
        <v>40000</v>
      </c>
      <c r="G8" s="10">
        <f>+E8/F8</f>
        <v>0.29104999999999998</v>
      </c>
    </row>
    <row r="9" x14ac:dyDescent="0.3">
      <c r="A9" s="28"/>
      <c r="B9" s="28"/>
      <c r="C9" s="28"/>
      <c r="D9" s="12" t="s">
        <v>98</v>
      </c>
      <c r="E9" s="1">
        <v>10223</v>
      </c>
      <c r="F9" s="1">
        <v>30000</v>
      </c>
      <c r="G9" s="10">
        <f>+E9/F9</f>
        <v>0.34076666666666666</v>
      </c>
    </row>
    <row r="10" x14ac:dyDescent="0.3">
      <c r="A10" s="28"/>
      <c r="B10" s="28"/>
      <c r="C10" s="28"/>
      <c r="D10" s="12" t="s">
        <v>94</v>
      </c>
      <c r="E10" s="1">
        <v>12213</v>
      </c>
      <c r="F10" s="1">
        <v>30000</v>
      </c>
      <c r="G10" s="10">
        <f>+E10/F10</f>
        <v>0.40710000000000002</v>
      </c>
    </row>
    <row r="11" x14ac:dyDescent="0.3">
      <c r="A11" s="28"/>
      <c r="B11" s="28"/>
      <c r="C11" s="28"/>
      <c r="D11" s="13" t="s">
        <v>8</v>
      </c>
      <c r="E11" s="1">
        <v>8092</v>
      </c>
      <c r="F11" s="1">
        <v>20000</v>
      </c>
      <c r="G11" s="10">
        <f>+E11/F11</f>
        <v>0.40460000000000002</v>
      </c>
    </row>
    <row r="12" x14ac:dyDescent="0.3">
      <c r="A12" s="29"/>
      <c r="B12" s="29"/>
      <c r="C12" s="29"/>
      <c r="D12" s="12" t="s">
        <v>130</v>
      </c>
      <c r="E12" s="1">
        <v>5780</v>
      </c>
      <c r="F12" s="1">
        <v>20000</v>
      </c>
      <c r="G12" s="10">
        <f>+E12/F12</f>
        <v>0.28899999999999998</v>
      </c>
    </row>
    <row r="13" x14ac:dyDescent="0.3">
      <c r="A13" s="27" t="s">
        <v>10</v>
      </c>
      <c r="B13" s="47">
        <v>201811</v>
      </c>
      <c r="C13" s="36">
        <v>710000</v>
      </c>
      <c r="D13" s="13" t="s">
        <v>11</v>
      </c>
      <c r="E13" s="1">
        <v>22730</v>
      </c>
      <c r="F13" s="1">
        <v>100000</v>
      </c>
      <c r="G13" s="10">
        <f>+E13/F13</f>
        <v>0.2273</v>
      </c>
    </row>
    <row r="14" x14ac:dyDescent="0.3">
      <c r="A14" s="28"/>
      <c r="B14" s="40"/>
      <c r="C14" s="37"/>
      <c r="D14" s="12" t="s">
        <v>97</v>
      </c>
      <c r="E14" s="1">
        <v>27536</v>
      </c>
      <c r="F14" s="1">
        <v>100000</v>
      </c>
      <c r="G14" s="10">
        <f>+E14/F14</f>
        <v>0.27535999999999999</v>
      </c>
    </row>
    <row r="15" x14ac:dyDescent="0.3">
      <c r="A15" s="28"/>
      <c r="B15" s="40"/>
      <c r="C15" s="37"/>
      <c r="D15" s="12" t="s">
        <v>103</v>
      </c>
      <c r="E15" s="1">
        <v>36277</v>
      </c>
      <c r="F15" s="1">
        <v>100000</v>
      </c>
      <c r="G15" s="10">
        <f>+E15/F15</f>
        <v>0.36276999999999998</v>
      </c>
    </row>
    <row r="16" x14ac:dyDescent="0.3">
      <c r="A16" s="28"/>
      <c r="B16" s="40"/>
      <c r="C16" s="37"/>
      <c r="D16" s="12" t="s">
        <v>187</v>
      </c>
      <c r="E16" s="1">
        <v>20132</v>
      </c>
      <c r="F16" s="1">
        <v>100000</v>
      </c>
      <c r="G16" s="10">
        <f>+E16/F16</f>
        <v>0.20132</v>
      </c>
    </row>
    <row r="17" x14ac:dyDescent="0.3">
      <c r="A17" s="28"/>
      <c r="B17" s="40"/>
      <c r="C17" s="37"/>
      <c r="D17" s="12" t="s">
        <v>89</v>
      </c>
      <c r="E17" s="1">
        <v>32063</v>
      </c>
      <c r="F17" s="1">
        <v>100000</v>
      </c>
      <c r="G17" s="10">
        <f>+E17/F17</f>
        <v>0.32063000000000003</v>
      </c>
    </row>
    <row r="18" x14ac:dyDescent="0.3">
      <c r="A18" s="28"/>
      <c r="B18" s="40"/>
      <c r="C18" s="37"/>
      <c r="D18" s="12" t="s">
        <v>104</v>
      </c>
      <c r="E18" s="1">
        <v>18489</v>
      </c>
      <c r="F18" s="1">
        <v>100000</v>
      </c>
      <c r="G18" s="10">
        <f>+E18/F18</f>
        <v>0.18489</v>
      </c>
    </row>
    <row r="19" x14ac:dyDescent="0.3">
      <c r="A19" s="28"/>
      <c r="B19" s="40"/>
      <c r="C19" s="37"/>
      <c r="D19" s="13" t="s">
        <v>88</v>
      </c>
      <c r="E19" s="1">
        <v>9761</v>
      </c>
      <c r="F19" s="1">
        <v>30000</v>
      </c>
      <c r="G19" s="10">
        <f>+E19/F19</f>
        <v>0.32536666666666669</v>
      </c>
    </row>
    <row r="20" x14ac:dyDescent="0.3">
      <c r="A20" s="28"/>
      <c r="B20" s="40"/>
      <c r="C20" s="37"/>
      <c r="D20" s="13" t="s">
        <v>12</v>
      </c>
      <c r="E20" s="1">
        <v>9710</v>
      </c>
      <c r="F20" s="1">
        <v>20000</v>
      </c>
      <c r="G20" s="10">
        <f>+E20/F20</f>
        <v>0.48549999999999999</v>
      </c>
    </row>
    <row r="21" x14ac:dyDescent="0.3">
      <c r="A21" s="28"/>
      <c r="B21" s="40"/>
      <c r="C21" s="37"/>
      <c r="D21" s="12" t="s">
        <v>152</v>
      </c>
      <c r="E21" s="1">
        <v>1512</v>
      </c>
      <c r="F21" s="1">
        <v>20000</v>
      </c>
      <c r="G21" s="10">
        <f>+E21/F21</f>
        <v>7.5600000000000001E-2</v>
      </c>
    </row>
    <row r="22" x14ac:dyDescent="0.3">
      <c r="A22" s="28"/>
      <c r="B22" s="40"/>
      <c r="C22" s="37"/>
      <c r="D22" s="12" t="s">
        <v>145</v>
      </c>
      <c r="E22" s="1">
        <v>426</v>
      </c>
      <c r="F22" s="1">
        <v>20000</v>
      </c>
      <c r="G22" s="10">
        <f>+E22/F22</f>
        <v>2.1299999999999999E-2</v>
      </c>
    </row>
    <row r="23" x14ac:dyDescent="0.3">
      <c r="A23" s="29"/>
      <c r="B23" s="41"/>
      <c r="C23" s="38"/>
      <c r="D23" s="12" t="s">
        <v>146</v>
      </c>
      <c r="E23" s="1">
        <v>4320</v>
      </c>
      <c r="F23" s="1">
        <v>20000</v>
      </c>
      <c r="G23" s="10">
        <f>+E23/F23</f>
        <v>0.216</v>
      </c>
    </row>
    <row r="24" x14ac:dyDescent="0.3">
      <c r="A24" s="27" t="s">
        <v>13</v>
      </c>
      <c r="B24" s="39">
        <v>66720</v>
      </c>
      <c r="C24" s="36">
        <v>370000</v>
      </c>
      <c r="D24" s="12" t="s">
        <v>99</v>
      </c>
      <c r="E24" s="1">
        <v>8159</v>
      </c>
      <c r="F24" s="1">
        <v>100000</v>
      </c>
      <c r="G24" s="10">
        <f>+E24/F24</f>
        <v>8.1589999999999996E-2</v>
      </c>
    </row>
    <row r="25" x14ac:dyDescent="0.3">
      <c r="A25" s="28"/>
      <c r="B25" s="40"/>
      <c r="C25" s="37"/>
      <c r="D25" s="12" t="s">
        <v>123</v>
      </c>
      <c r="E25" s="1">
        <v>16428</v>
      </c>
      <c r="F25" s="1">
        <v>100000</v>
      </c>
      <c r="G25" s="10">
        <f>+E25/F25</f>
        <v>0.16428000000000001</v>
      </c>
    </row>
    <row r="26" x14ac:dyDescent="0.3">
      <c r="A26" s="28"/>
      <c r="B26" s="40"/>
      <c r="C26" s="37"/>
      <c r="D26" s="12" t="s">
        <v>111</v>
      </c>
      <c r="E26" s="1">
        <v>17419</v>
      </c>
      <c r="F26" s="1">
        <v>100000</v>
      </c>
      <c r="G26" s="10">
        <f>+E26/F26</f>
        <v>0.17419000000000001</v>
      </c>
    </row>
    <row r="27" x14ac:dyDescent="0.3">
      <c r="A27" s="28"/>
      <c r="B27" s="40"/>
      <c r="C27" s="37"/>
      <c r="D27" s="12" t="s">
        <v>102</v>
      </c>
      <c r="E27" s="1">
        <v>17139</v>
      </c>
      <c r="F27" s="1">
        <v>50000</v>
      </c>
      <c r="G27" s="10">
        <f>+E27/F27</f>
        <v>0.34277999999999997</v>
      </c>
    </row>
    <row r="28" x14ac:dyDescent="0.3">
      <c r="A28" s="28"/>
      <c r="B28" s="40"/>
      <c r="C28" s="37"/>
      <c r="D28" s="13" t="s">
        <v>14</v>
      </c>
      <c r="E28" s="1">
        <v>1250</v>
      </c>
      <c r="F28" s="1">
        <v>10000</v>
      </c>
      <c r="G28" s="10">
        <f>+E28/F28</f>
        <v>0.125</v>
      </c>
    </row>
    <row r="29" x14ac:dyDescent="0.3">
      <c r="A29" s="29"/>
      <c r="B29" s="41"/>
      <c r="C29" s="38"/>
      <c r="D29" s="13" t="s">
        <v>92</v>
      </c>
      <c r="E29" s="1">
        <v>983</v>
      </c>
      <c r="F29" s="1">
        <v>10000</v>
      </c>
      <c r="G29" s="10">
        <f>+E29/F29</f>
        <v>9.8299999999999998E-2</v>
      </c>
    </row>
    <row r="30" x14ac:dyDescent="0.3">
      <c r="A30" s="42" t="s">
        <v>15</v>
      </c>
      <c r="B30" s="35">
        <v>77073</v>
      </c>
      <c r="C30" s="45">
        <v>280000</v>
      </c>
      <c r="D30" s="3" t="s">
        <v>17</v>
      </c>
      <c r="E30" s="1">
        <v>16994</v>
      </c>
      <c r="F30" s="1">
        <v>40000</v>
      </c>
      <c r="G30" s="10">
        <f>+E30/F30</f>
        <v>0.42485000000000001</v>
      </c>
    </row>
    <row r="31" x14ac:dyDescent="0.3">
      <c r="A31" s="43"/>
      <c r="B31" s="30"/>
      <c r="C31" s="30"/>
      <c r="D31" s="3" t="s">
        <v>18</v>
      </c>
      <c r="E31" s="1">
        <v>15980</v>
      </c>
      <c r="F31" s="1">
        <v>40000</v>
      </c>
      <c r="G31" s="10">
        <f>+E31/F31</f>
        <v>0.39950000000000002</v>
      </c>
    </row>
    <row r="32" x14ac:dyDescent="0.3">
      <c r="A32" s="43"/>
      <c r="B32" s="30"/>
      <c r="C32" s="30"/>
      <c r="D32" s="3" t="s">
        <v>181</v>
      </c>
      <c r="E32" s="1">
        <v>18406</v>
      </c>
      <c r="F32" s="1">
        <v>40000</v>
      </c>
      <c r="G32" s="10">
        <f>+E32/F32</f>
        <v>0.46015</v>
      </c>
    </row>
    <row r="33" x14ac:dyDescent="0.3">
      <c r="A33" s="43"/>
      <c r="B33" s="30"/>
      <c r="C33" s="30"/>
      <c r="D33" s="3" t="s">
        <v>22</v>
      </c>
      <c r="E33" s="1">
        <v>3066</v>
      </c>
      <c r="F33" s="1">
        <v>20000</v>
      </c>
      <c r="G33" s="10">
        <f>+E33/F33</f>
        <v>0.15329999999999999</v>
      </c>
    </row>
    <row r="34" x14ac:dyDescent="0.3">
      <c r="A34" s="43"/>
      <c r="B34" s="30"/>
      <c r="C34" s="30"/>
      <c r="D34" s="3" t="s">
        <v>23</v>
      </c>
      <c r="E34" s="1">
        <v>4902</v>
      </c>
      <c r="F34" s="1">
        <v>20000</v>
      </c>
      <c r="G34" s="10">
        <f>+E34/F34</f>
        <v>0.24510000000000001</v>
      </c>
    </row>
    <row r="35" x14ac:dyDescent="0.3">
      <c r="A35" s="43"/>
      <c r="B35" s="30"/>
      <c r="C35" s="30"/>
      <c r="D35" s="3" t="s">
        <v>16</v>
      </c>
      <c r="E35" s="1">
        <v>2730</v>
      </c>
      <c r="F35" s="1">
        <v>10000</v>
      </c>
      <c r="G35" s="10">
        <f>+E35/F35</f>
        <v>0.27300000000000002</v>
      </c>
    </row>
    <row r="36" x14ac:dyDescent="0.3">
      <c r="A36" s="43"/>
      <c r="B36" s="30"/>
      <c r="C36" s="30"/>
      <c r="D36" s="3" t="s">
        <v>19</v>
      </c>
      <c r="E36" s="1">
        <v>2490</v>
      </c>
      <c r="F36" s="1">
        <v>10000</v>
      </c>
      <c r="G36" s="10">
        <f>+E36/F36</f>
        <v>0.249</v>
      </c>
    </row>
    <row r="37" x14ac:dyDescent="0.3">
      <c r="A37" s="43"/>
      <c r="B37" s="30"/>
      <c r="C37" s="30"/>
      <c r="D37" s="3" t="s">
        <v>20</v>
      </c>
      <c r="E37" s="1">
        <v>1618</v>
      </c>
      <c r="F37" s="1">
        <v>10000</v>
      </c>
      <c r="G37" s="10">
        <f>+E37/F37</f>
        <v>0.1618</v>
      </c>
    </row>
    <row r="38" x14ac:dyDescent="0.3">
      <c r="A38" s="44"/>
      <c r="B38" s="46"/>
      <c r="C38" s="46"/>
      <c r="D38" s="3" t="s">
        <v>21</v>
      </c>
      <c r="E38" s="1">
        <v>2338</v>
      </c>
      <c r="F38" s="1">
        <v>10000</v>
      </c>
      <c r="G38" s="10">
        <f>+E38/F38</f>
        <v>0.23380000000000001</v>
      </c>
    </row>
    <row r="39" x14ac:dyDescent="0.3">
      <c r="A39" s="44"/>
      <c r="B39" s="46"/>
      <c r="C39" s="46"/>
      <c r="D39" s="3" t="s">
        <v>483</v>
      </c>
      <c r="E39" s="1">
        <v>0</v>
      </c>
      <c r="F39" s="1">
        <v>0</v>
      </c>
      <c r="G39" s="10">
        <v>0</v>
      </c>
    </row>
    <row r="40" x14ac:dyDescent="0.3">
      <c r="A40" s="44"/>
      <c r="B40" s="46"/>
      <c r="C40" s="46"/>
      <c r="D40" s="3" t="s">
        <v>484</v>
      </c>
      <c r="E40" s="1">
        <v>0</v>
      </c>
      <c r="F40" s="1">
        <v>0</v>
      </c>
      <c r="G40" s="10">
        <v>0</v>
      </c>
    </row>
    <row r="41" x14ac:dyDescent="0.3">
      <c r="A41" s="44"/>
      <c r="B41" s="46"/>
      <c r="C41" s="46"/>
      <c r="D41" s="3" t="s">
        <v>485</v>
      </c>
      <c r="E41" s="1">
        <v>0</v>
      </c>
      <c r="F41" s="1">
        <v>0</v>
      </c>
      <c r="G41" s="10">
        <v>0</v>
      </c>
    </row>
    <row r="42" x14ac:dyDescent="0.3">
      <c r="A42" s="27" t="s">
        <v>24</v>
      </c>
      <c r="B42" s="27">
        <v>161909</v>
      </c>
      <c r="C42" s="27">
        <v>540000</v>
      </c>
      <c r="D42" s="12" t="s">
        <v>112</v>
      </c>
      <c r="E42" s="1">
        <v>26313</v>
      </c>
      <c r="F42" s="1">
        <v>100000</v>
      </c>
      <c r="G42" s="10">
        <f>+E42/F42</f>
        <v>0.26312999999999998</v>
      </c>
    </row>
    <row r="43" x14ac:dyDescent="0.3">
      <c r="A43" s="28"/>
      <c r="B43" s="28"/>
      <c r="C43" s="28"/>
      <c r="D43" s="13" t="s">
        <v>29</v>
      </c>
      <c r="E43" s="1">
        <v>12200</v>
      </c>
      <c r="F43" s="1">
        <v>100000</v>
      </c>
      <c r="G43" s="10">
        <f>+E43/F43</f>
        <v>0.122</v>
      </c>
    </row>
    <row r="44" x14ac:dyDescent="0.3">
      <c r="A44" s="28"/>
      <c r="B44" s="28"/>
      <c r="C44" s="28"/>
      <c r="D44" s="12" t="s">
        <v>113</v>
      </c>
      <c r="E44" s="1">
        <v>27458</v>
      </c>
      <c r="F44" s="1">
        <v>100000</v>
      </c>
      <c r="G44" s="10">
        <f>+E44/F44</f>
        <v>0.27457999999999999</v>
      </c>
    </row>
    <row r="45" x14ac:dyDescent="0.3">
      <c r="A45" s="28"/>
      <c r="B45" s="28"/>
      <c r="C45" s="28"/>
      <c r="D45" s="12" t="s">
        <v>171</v>
      </c>
      <c r="E45" s="1">
        <v>18679</v>
      </c>
      <c r="F45" s="1">
        <v>60000</v>
      </c>
      <c r="G45" s="10">
        <f>+E45/F45</f>
        <v>0.31131666666666669</v>
      </c>
    </row>
    <row r="46" x14ac:dyDescent="0.3">
      <c r="A46" s="28"/>
      <c r="B46" s="28"/>
      <c r="C46" s="28"/>
      <c r="D46" s="12" t="s">
        <v>110</v>
      </c>
      <c r="E46" s="1">
        <v>20520</v>
      </c>
      <c r="F46" s="1">
        <v>50000</v>
      </c>
      <c r="G46" s="10">
        <f>+E46/F46</f>
        <v>0.41039999999999999</v>
      </c>
    </row>
    <row r="47" x14ac:dyDescent="0.3">
      <c r="A47" s="28"/>
      <c r="B47" s="28"/>
      <c r="C47" s="28"/>
      <c r="D47" s="13" t="s">
        <v>30</v>
      </c>
      <c r="E47" s="1">
        <v>9709</v>
      </c>
      <c r="F47" s="1">
        <v>20000</v>
      </c>
      <c r="G47" s="10">
        <f>+E47/F47</f>
        <v>0.48544999999999999</v>
      </c>
    </row>
    <row r="48" x14ac:dyDescent="0.3">
      <c r="A48" s="28"/>
      <c r="B48" s="28"/>
      <c r="C48" s="28"/>
      <c r="D48" s="12" t="s">
        <v>174</v>
      </c>
      <c r="E48" s="1">
        <v>9765</v>
      </c>
      <c r="F48" s="1">
        <v>20000</v>
      </c>
      <c r="G48" s="10">
        <f>+E48/F48</f>
        <v>0.48825000000000002</v>
      </c>
    </row>
    <row r="49" x14ac:dyDescent="0.3">
      <c r="A49" s="28"/>
      <c r="B49" s="28"/>
      <c r="C49" s="28"/>
      <c r="D49" s="12" t="s">
        <v>141</v>
      </c>
      <c r="E49" s="1">
        <v>890</v>
      </c>
      <c r="F49" s="1">
        <v>20000</v>
      </c>
      <c r="G49" s="10">
        <f>+E49/F49</f>
        <v>4.4499999999999998E-2</v>
      </c>
    </row>
    <row r="50" x14ac:dyDescent="0.3">
      <c r="A50" s="28"/>
      <c r="B50" s="28"/>
      <c r="C50" s="28"/>
      <c r="D50" s="13" t="s">
        <v>25</v>
      </c>
      <c r="E50" s="1">
        <v>1810</v>
      </c>
      <c r="F50" s="1">
        <v>10000</v>
      </c>
      <c r="G50" s="10">
        <f>+E50/F50</f>
        <v>0.18099999999999999</v>
      </c>
    </row>
    <row r="51" x14ac:dyDescent="0.3">
      <c r="A51" s="28"/>
      <c r="B51" s="28"/>
      <c r="C51" s="28"/>
      <c r="D51" s="13" t="s">
        <v>26</v>
      </c>
      <c r="E51" s="1">
        <v>1017</v>
      </c>
      <c r="F51" s="1">
        <v>10000</v>
      </c>
      <c r="G51" s="10">
        <f>+E51/F51</f>
        <v>0.1017</v>
      </c>
    </row>
    <row r="52" x14ac:dyDescent="0.3">
      <c r="A52" s="28"/>
      <c r="B52" s="28"/>
      <c r="C52" s="28"/>
      <c r="D52" s="13" t="s">
        <v>27</v>
      </c>
      <c r="E52" s="1">
        <v>1966</v>
      </c>
      <c r="F52" s="1">
        <v>10000</v>
      </c>
      <c r="G52" s="10">
        <f>+E52/F52</f>
        <v>0.1966</v>
      </c>
    </row>
    <row r="53" x14ac:dyDescent="0.3">
      <c r="A53" s="29"/>
      <c r="B53" s="29"/>
      <c r="C53" s="29"/>
      <c r="D53" s="13" t="s">
        <v>28</v>
      </c>
      <c r="E53" s="1">
        <v>3001</v>
      </c>
      <c r="F53" s="1">
        <v>10000</v>
      </c>
      <c r="G53" s="10">
        <f>+E53/F53</f>
        <v>0.30009999999999998</v>
      </c>
    </row>
    <row r="54" x14ac:dyDescent="0.3">
      <c r="A54" s="29"/>
      <c r="B54" s="29"/>
      <c r="C54" s="29"/>
      <c r="D54" s="13" t="s">
        <v>486</v>
      </c>
      <c r="E54" s="48">
        <v>0</v>
      </c>
      <c r="F54" s="48">
        <v>0</v>
      </c>
      <c r="G54" s="10">
        <v>0</v>
      </c>
    </row>
    <row r="55" x14ac:dyDescent="0.3">
      <c r="A55" s="27" t="s">
        <v>85</v>
      </c>
      <c r="B55" s="27">
        <v>164485</v>
      </c>
      <c r="C55" s="27">
        <v>560000</v>
      </c>
      <c r="D55" s="12" t="s">
        <v>91</v>
      </c>
      <c r="E55" s="1">
        <v>27759</v>
      </c>
      <c r="F55" s="1">
        <v>100000</v>
      </c>
      <c r="G55" s="10">
        <f>+E55/F55</f>
        <v>0.27759</v>
      </c>
    </row>
    <row r="56" x14ac:dyDescent="0.3">
      <c r="A56" s="28"/>
      <c r="B56" s="28"/>
      <c r="C56" s="28"/>
      <c r="D56" s="12" t="s">
        <v>109</v>
      </c>
      <c r="E56" s="1">
        <v>22937</v>
      </c>
      <c r="F56" s="1">
        <v>100000</v>
      </c>
      <c r="G56" s="10">
        <f>+E56/F56</f>
        <v>0.22936999999999999</v>
      </c>
    </row>
    <row r="57" x14ac:dyDescent="0.3">
      <c r="A57" s="28"/>
      <c r="B57" s="28"/>
      <c r="C57" s="28"/>
      <c r="D57" s="13" t="s">
        <v>31</v>
      </c>
      <c r="E57" s="1">
        <v>25696</v>
      </c>
      <c r="F57" s="1">
        <v>100000</v>
      </c>
      <c r="G57" s="10">
        <f>+E57/F57</f>
        <v>0.25696000000000002</v>
      </c>
    </row>
    <row r="58" x14ac:dyDescent="0.3">
      <c r="A58" s="28"/>
      <c r="B58" s="28"/>
      <c r="C58" s="28"/>
      <c r="D58" s="13" t="s">
        <v>120</v>
      </c>
      <c r="E58" s="1">
        <v>22175</v>
      </c>
      <c r="F58" s="1">
        <v>100000</v>
      </c>
      <c r="G58" s="10">
        <f>+E58/F58</f>
        <v>0.22175</v>
      </c>
    </row>
    <row r="59" x14ac:dyDescent="0.3">
      <c r="A59" s="28"/>
      <c r="B59" s="28"/>
      <c r="C59" s="28"/>
      <c r="D59" s="13" t="s">
        <v>32</v>
      </c>
      <c r="E59" s="1">
        <v>37452</v>
      </c>
      <c r="F59" s="1">
        <v>100000</v>
      </c>
      <c r="G59" s="10">
        <f>+E59/F59</f>
        <v>0.37452000000000002</v>
      </c>
    </row>
    <row r="60" x14ac:dyDescent="0.3">
      <c r="A60" s="28"/>
      <c r="B60" s="28"/>
      <c r="C60" s="28"/>
      <c r="D60" s="12" t="s">
        <v>157</v>
      </c>
      <c r="E60" s="1">
        <v>5723</v>
      </c>
      <c r="F60" s="1">
        <v>30000</v>
      </c>
      <c r="G60" s="10">
        <f>+E60/F60</f>
        <v>0.19076666666666667</v>
      </c>
    </row>
    <row r="61" x14ac:dyDescent="0.3">
      <c r="A61" s="28"/>
      <c r="B61" s="28"/>
      <c r="C61" s="28"/>
      <c r="D61" s="12" t="s">
        <v>153</v>
      </c>
      <c r="E61" s="1">
        <v>0</v>
      </c>
      <c r="F61" s="1">
        <v>20000</v>
      </c>
      <c r="G61" s="10">
        <f>+E61/F61</f>
        <v>0</v>
      </c>
    </row>
    <row r="62" x14ac:dyDescent="0.3">
      <c r="A62" s="29"/>
      <c r="B62" s="29"/>
      <c r="C62" s="29"/>
      <c r="D62" s="12" t="s">
        <v>158</v>
      </c>
      <c r="E62" s="1">
        <v>919</v>
      </c>
      <c r="F62" s="1">
        <v>10000</v>
      </c>
      <c r="G62" s="10">
        <f>+E62/F62</f>
        <v>9.1899999999999996E-2</v>
      </c>
    </row>
    <row r="63" x14ac:dyDescent="0.3">
      <c r="A63" s="27" t="s">
        <v>33</v>
      </c>
      <c r="B63" s="27">
        <v>78491</v>
      </c>
      <c r="C63" s="27">
        <v>280000</v>
      </c>
      <c r="D63" s="12" t="s">
        <v>93</v>
      </c>
      <c r="E63" s="1">
        <v>25179</v>
      </c>
      <c r="F63" s="1">
        <v>100000</v>
      </c>
      <c r="G63" s="10">
        <f>+E63/F63</f>
        <v>0.25179000000000001</v>
      </c>
    </row>
    <row r="64" x14ac:dyDescent="0.3">
      <c r="A64" s="28"/>
      <c r="B64" s="28"/>
      <c r="C64" s="28"/>
      <c r="D64" s="12" t="s">
        <v>107</v>
      </c>
      <c r="E64" s="1">
        <v>19629</v>
      </c>
      <c r="F64" s="1">
        <v>100000</v>
      </c>
      <c r="G64" s="10">
        <f>+E64/F64</f>
        <v>0.19628999999999999</v>
      </c>
    </row>
    <row r="65" x14ac:dyDescent="0.3">
      <c r="A65" s="28"/>
      <c r="B65" s="28"/>
      <c r="C65" s="28"/>
      <c r="D65" s="12" t="s">
        <v>131</v>
      </c>
      <c r="E65" s="1">
        <v>15714</v>
      </c>
      <c r="F65" s="1">
        <v>40000</v>
      </c>
      <c r="G65" s="10">
        <f>+E65/F65</f>
        <v>0.39284999999999998</v>
      </c>
    </row>
    <row r="66" x14ac:dyDescent="0.3">
      <c r="A66" s="28"/>
      <c r="B66" s="28"/>
      <c r="C66" s="28"/>
      <c r="D66" s="12" t="s">
        <v>127</v>
      </c>
      <c r="E66" s="1">
        <v>8645</v>
      </c>
      <c r="F66" s="1">
        <v>30000</v>
      </c>
      <c r="G66" s="10">
        <f>+E66/F66</f>
        <v>0.28816666666666668</v>
      </c>
    </row>
    <row r="67" x14ac:dyDescent="0.3">
      <c r="A67" s="29"/>
      <c r="B67" s="29"/>
      <c r="C67" s="29"/>
      <c r="D67" s="12" t="s">
        <v>132</v>
      </c>
      <c r="E67" s="1">
        <v>2876</v>
      </c>
      <c r="F67" s="1">
        <v>10000</v>
      </c>
      <c r="G67" s="10">
        <f>+E67/F67</f>
        <v>0.28760000000000002</v>
      </c>
    </row>
    <row r="68" x14ac:dyDescent="0.3">
      <c r="A68" s="26" t="s">
        <v>34</v>
      </c>
      <c r="B68" s="26">
        <v>6694</v>
      </c>
      <c r="C68" s="26">
        <v>40000</v>
      </c>
      <c r="D68" s="13" t="s">
        <v>35</v>
      </c>
      <c r="E68" s="1">
        <v>1419</v>
      </c>
      <c r="F68" s="1">
        <v>10000</v>
      </c>
      <c r="G68" s="10">
        <f>+E68/F68</f>
        <v>0.1419</v>
      </c>
    </row>
    <row r="69" x14ac:dyDescent="0.3">
      <c r="A69" s="26"/>
      <c r="B69" s="26"/>
      <c r="C69" s="26"/>
      <c r="D69" s="13" t="s">
        <v>36</v>
      </c>
      <c r="E69" s="1">
        <v>2036</v>
      </c>
      <c r="F69" s="1">
        <v>10000</v>
      </c>
      <c r="G69" s="10">
        <f>+E69/F69</f>
        <v>0.2036</v>
      </c>
    </row>
    <row r="70" x14ac:dyDescent="0.3">
      <c r="A70" s="26"/>
      <c r="B70" s="26"/>
      <c r="C70" s="26"/>
      <c r="D70" s="13" t="s">
        <v>37</v>
      </c>
      <c r="E70" s="1">
        <v>1462</v>
      </c>
      <c r="F70" s="1">
        <v>10000</v>
      </c>
      <c r="G70" s="10">
        <f>+E70/F70</f>
        <v>0.1462</v>
      </c>
    </row>
    <row r="71" x14ac:dyDescent="0.3">
      <c r="A71" s="26"/>
      <c r="B71" s="26"/>
      <c r="C71" s="26"/>
      <c r="D71" s="13" t="s">
        <v>38</v>
      </c>
      <c r="E71" s="1">
        <v>1913</v>
      </c>
      <c r="F71" s="1">
        <v>10000</v>
      </c>
      <c r="G71" s="10">
        <f>+E71/F71</f>
        <v>0.1913</v>
      </c>
    </row>
    <row r="72" x14ac:dyDescent="0.3">
      <c r="A72" s="27" t="s">
        <v>39</v>
      </c>
      <c r="B72" s="27">
        <v>41809</v>
      </c>
      <c r="C72" s="27">
        <v>190000</v>
      </c>
      <c r="D72" s="13" t="s">
        <v>173</v>
      </c>
      <c r="E72" s="1">
        <v>13214</v>
      </c>
      <c r="F72" s="1">
        <v>100000</v>
      </c>
      <c r="G72" s="10">
        <f>+E72/F72</f>
        <v>0.13214000000000001</v>
      </c>
    </row>
    <row r="73" x14ac:dyDescent="0.3">
      <c r="A73" s="28"/>
      <c r="B73" s="28"/>
      <c r="C73" s="28"/>
      <c r="D73" s="13" t="s">
        <v>182</v>
      </c>
      <c r="E73" s="1">
        <v>3233</v>
      </c>
      <c r="F73" s="1">
        <v>40000</v>
      </c>
      <c r="G73" s="10">
        <f>+E73/F73</f>
        <v>8.0824999999999994E-2</v>
      </c>
    </row>
    <row r="74" x14ac:dyDescent="0.3">
      <c r="A74" s="28"/>
      <c r="B74" s="28"/>
      <c r="C74" s="28"/>
      <c r="D74" s="13" t="s">
        <v>180</v>
      </c>
      <c r="E74" s="1">
        <v>8779</v>
      </c>
      <c r="F74" s="1">
        <v>30000</v>
      </c>
      <c r="G74" s="10">
        <f>+E74/F74</f>
        <v>0.29263333333333336</v>
      </c>
    </row>
    <row r="75" x14ac:dyDescent="0.3">
      <c r="A75" s="29"/>
      <c r="B75" s="29"/>
      <c r="C75" s="29"/>
      <c r="D75" s="12" t="s">
        <v>147</v>
      </c>
      <c r="E75" s="1">
        <v>9937</v>
      </c>
      <c r="F75" s="1">
        <v>20000</v>
      </c>
      <c r="G75" s="10">
        <f>+E75/F75</f>
        <v>0.49685000000000001</v>
      </c>
    </row>
    <row r="76" x14ac:dyDescent="0.3">
      <c r="A76" s="32" t="s">
        <v>41</v>
      </c>
      <c r="B76" s="32">
        <v>83272</v>
      </c>
      <c r="C76" s="32">
        <v>250000</v>
      </c>
      <c r="D76" s="12" t="s">
        <v>95</v>
      </c>
      <c r="E76" s="1">
        <v>13269</v>
      </c>
      <c r="F76" s="1">
        <v>30000</v>
      </c>
      <c r="G76" s="10">
        <f>+E76/F76</f>
        <v>0.44230000000000003</v>
      </c>
    </row>
    <row r="77" x14ac:dyDescent="0.3">
      <c r="A77" s="33"/>
      <c r="B77" s="33"/>
      <c r="C77" s="33"/>
      <c r="D77" s="12" t="s">
        <v>114</v>
      </c>
      <c r="E77" s="1">
        <v>12081</v>
      </c>
      <c r="F77" s="1">
        <v>30000</v>
      </c>
      <c r="G77" s="10">
        <f>+E77/F77</f>
        <v>0.4027</v>
      </c>
    </row>
    <row r="78" x14ac:dyDescent="0.3">
      <c r="A78" s="33"/>
      <c r="B78" s="33"/>
      <c r="C78" s="33"/>
      <c r="D78" s="12" t="s">
        <v>163</v>
      </c>
      <c r="E78" s="1">
        <v>3463</v>
      </c>
      <c r="F78" s="1">
        <v>20000</v>
      </c>
      <c r="G78" s="10">
        <f>+E78/F78</f>
        <v>0.17315</v>
      </c>
    </row>
    <row r="79" x14ac:dyDescent="0.3">
      <c r="A79" s="33"/>
      <c r="B79" s="33"/>
      <c r="C79" s="33"/>
      <c r="D79" s="12" t="s">
        <v>151</v>
      </c>
      <c r="E79" s="1">
        <v>5958</v>
      </c>
      <c r="F79" s="1">
        <v>20000</v>
      </c>
      <c r="G79" s="10">
        <f>+E79/F79</f>
        <v>0.2979</v>
      </c>
    </row>
    <row r="80" x14ac:dyDescent="0.3">
      <c r="A80" s="33"/>
      <c r="B80" s="33"/>
      <c r="C80" s="33"/>
      <c r="D80" s="12" t="s">
        <v>96</v>
      </c>
      <c r="E80" s="1">
        <v>8471</v>
      </c>
      <c r="F80" s="1">
        <v>20000</v>
      </c>
      <c r="G80" s="10">
        <f>+E80/F80</f>
        <v>0.42354999999999998</v>
      </c>
    </row>
    <row r="81" x14ac:dyDescent="0.3">
      <c r="A81" s="33"/>
      <c r="B81" s="33"/>
      <c r="C81" s="33"/>
      <c r="D81" s="13" t="s">
        <v>105</v>
      </c>
      <c r="E81" s="1">
        <v>9304</v>
      </c>
      <c r="F81" s="1">
        <v>20000</v>
      </c>
      <c r="G81" s="10">
        <f>+E81/F81</f>
        <v>0.4652</v>
      </c>
    </row>
    <row r="82" x14ac:dyDescent="0.3">
      <c r="A82" s="33"/>
      <c r="B82" s="33"/>
      <c r="C82" s="33"/>
      <c r="D82" s="13" t="s">
        <v>106</v>
      </c>
      <c r="E82" s="1">
        <v>7834</v>
      </c>
      <c r="F82" s="1">
        <v>20000</v>
      </c>
      <c r="G82" s="10">
        <f>+E82/F82</f>
        <v>0.39169999999999999</v>
      </c>
    </row>
    <row r="83" x14ac:dyDescent="0.3">
      <c r="A83" s="33"/>
      <c r="B83" s="33"/>
      <c r="C83" s="33"/>
      <c r="D83" s="13" t="s">
        <v>178</v>
      </c>
      <c r="E83" s="1">
        <v>684</v>
      </c>
      <c r="F83" s="1">
        <v>20000</v>
      </c>
      <c r="G83" s="10">
        <f>+E83/F83</f>
        <v>3.4200000000000001E-2</v>
      </c>
    </row>
    <row r="84" x14ac:dyDescent="0.3">
      <c r="A84" s="33"/>
      <c r="B84" s="33"/>
      <c r="C84" s="33"/>
      <c r="D84" s="12" t="s">
        <v>144</v>
      </c>
      <c r="E84" s="1">
        <v>4917</v>
      </c>
      <c r="F84" s="1">
        <v>20000</v>
      </c>
      <c r="G84" s="10">
        <f>+E84/F84</f>
        <v>0.24585000000000001</v>
      </c>
    </row>
    <row r="85" x14ac:dyDescent="0.3">
      <c r="A85" s="33"/>
      <c r="B85" s="33"/>
      <c r="C85" s="33"/>
      <c r="D85" s="20" t="s">
        <v>184</v>
      </c>
      <c r="E85" s="1">
        <v>2315</v>
      </c>
      <c r="F85" s="1">
        <v>20000</v>
      </c>
      <c r="G85" s="10">
        <f>+E85/F85</f>
        <v>0.11575000000000001</v>
      </c>
    </row>
    <row r="86" x14ac:dyDescent="0.3">
      <c r="A86" s="33"/>
      <c r="B86" s="33"/>
      <c r="C86" s="33"/>
      <c r="D86" s="12" t="s">
        <v>119</v>
      </c>
      <c r="E86" s="1">
        <v>3161</v>
      </c>
      <c r="F86" s="1">
        <v>20000</v>
      </c>
      <c r="G86" s="10">
        <f>+E86/F86</f>
        <v>0.15805</v>
      </c>
    </row>
    <row r="87" x14ac:dyDescent="0.3">
      <c r="A87" s="34"/>
      <c r="B87" s="34"/>
      <c r="C87" s="34"/>
      <c r="D87" s="12" t="s">
        <v>164</v>
      </c>
      <c r="E87" s="1">
        <v>571</v>
      </c>
      <c r="F87" s="1">
        <v>10000</v>
      </c>
      <c r="G87" s="10">
        <f>+E87/F87</f>
        <v>5.7099999999999998E-2</v>
      </c>
    </row>
    <row r="88" x14ac:dyDescent="0.3">
      <c r="A88" s="30" t="s">
        <v>42</v>
      </c>
      <c r="B88" s="30">
        <v>3254</v>
      </c>
      <c r="C88" s="30">
        <v>20000</v>
      </c>
      <c r="D88" s="3" t="s">
        <v>43</v>
      </c>
      <c r="E88" s="1">
        <v>1070</v>
      </c>
      <c r="F88" s="1">
        <v>10000</v>
      </c>
      <c r="G88" s="10">
        <f>+E88/F88</f>
        <v>0.107</v>
      </c>
    </row>
    <row r="89" x14ac:dyDescent="0.3">
      <c r="A89" s="31"/>
      <c r="B89" s="31"/>
      <c r="C89" s="31"/>
      <c r="D89" s="3" t="s">
        <v>44</v>
      </c>
      <c r="E89" s="1">
        <v>2046</v>
      </c>
      <c r="F89" s="1">
        <v>10000</v>
      </c>
      <c r="G89" s="10">
        <f>+E89/F89</f>
        <v>0.2046</v>
      </c>
    </row>
    <row r="90" x14ac:dyDescent="0.3">
      <c r="A90" s="1" t="s">
        <v>45</v>
      </c>
      <c r="B90" s="1">
        <v>4334</v>
      </c>
      <c r="C90" s="1">
        <v>10000</v>
      </c>
      <c r="D90" s="3" t="s">
        <v>46</v>
      </c>
      <c r="E90" s="1">
        <v>4469</v>
      </c>
      <c r="F90" s="1">
        <v>10000</v>
      </c>
      <c r="G90" s="10">
        <f>+E90/F90</f>
        <v>0.44690000000000002</v>
      </c>
    </row>
    <row r="91" x14ac:dyDescent="0.3">
      <c r="A91" s="26" t="s">
        <v>49</v>
      </c>
      <c r="B91" s="26">
        <v>49545</v>
      </c>
      <c r="C91" s="26">
        <v>100000</v>
      </c>
      <c r="D91" s="13" t="s">
        <v>148</v>
      </c>
      <c r="E91" s="1">
        <v>22227</v>
      </c>
      <c r="F91" s="1">
        <v>40000</v>
      </c>
      <c r="G91" s="10">
        <f>+E91/F91</f>
        <v>0.55567500000000003</v>
      </c>
    </row>
    <row r="92" x14ac:dyDescent="0.3">
      <c r="A92" s="26"/>
      <c r="B92" s="26"/>
      <c r="C92" s="26"/>
      <c r="D92" s="13" t="s">
        <v>149</v>
      </c>
      <c r="E92" s="1">
        <v>20870</v>
      </c>
      <c r="F92" s="1">
        <v>40000</v>
      </c>
      <c r="G92" s="10">
        <f>+E92/F92</f>
        <v>0.52175000000000005</v>
      </c>
    </row>
    <row r="93" x14ac:dyDescent="0.3">
      <c r="A93" s="26"/>
      <c r="B93" s="26"/>
      <c r="C93" s="26"/>
      <c r="D93" s="13" t="s">
        <v>176</v>
      </c>
      <c r="E93" s="1">
        <v>1998</v>
      </c>
      <c r="F93" s="1">
        <v>20000</v>
      </c>
      <c r="G93" s="10">
        <f>+E93/F93</f>
        <v>9.9900000000000003E-2</v>
      </c>
    </row>
    <row r="94" x14ac:dyDescent="0.3">
      <c r="A94" s="27" t="s">
        <v>50</v>
      </c>
      <c r="B94" s="27">
        <v>40022</v>
      </c>
      <c r="C94" s="27">
        <v>120000</v>
      </c>
      <c r="D94" s="12" t="s">
        <v>140</v>
      </c>
      <c r="E94" s="1">
        <v>2167</v>
      </c>
      <c r="F94" s="1">
        <v>40000</v>
      </c>
      <c r="G94" s="10">
        <f>+E94/F94</f>
        <v>5.4175000000000001E-2</v>
      </c>
    </row>
    <row r="95" x14ac:dyDescent="0.3">
      <c r="A95" s="28"/>
      <c r="B95" s="28"/>
      <c r="C95" s="28"/>
      <c r="D95" s="12" t="s">
        <v>137</v>
      </c>
      <c r="E95" s="1">
        <v>11912</v>
      </c>
      <c r="F95" s="1">
        <v>30000</v>
      </c>
      <c r="G95" s="10">
        <f>+E95/F95</f>
        <v>0.39706666666666668</v>
      </c>
    </row>
    <row r="96" x14ac:dyDescent="0.3">
      <c r="A96" s="28"/>
      <c r="B96" s="28"/>
      <c r="C96" s="28"/>
      <c r="D96" s="12" t="s">
        <v>138</v>
      </c>
      <c r="E96" s="1">
        <v>11521</v>
      </c>
      <c r="F96" s="1">
        <v>30000</v>
      </c>
      <c r="G96" s="10">
        <f>+E96/F96</f>
        <v>0.38403333333333334</v>
      </c>
    </row>
    <row r="97" x14ac:dyDescent="0.3">
      <c r="A97" s="29"/>
      <c r="B97" s="29"/>
      <c r="C97" s="29"/>
      <c r="D97" s="12" t="s">
        <v>139</v>
      </c>
      <c r="E97" s="1">
        <v>6504</v>
      </c>
      <c r="F97" s="1">
        <v>20000</v>
      </c>
      <c r="G97" s="10">
        <f>+E97/F97</f>
        <v>0.32519999999999999</v>
      </c>
    </row>
    <row r="98" x14ac:dyDescent="0.3">
      <c r="A98" s="16" t="s">
        <v>51</v>
      </c>
      <c r="B98" s="16">
        <v>1260</v>
      </c>
      <c r="C98" s="16">
        <v>10000</v>
      </c>
      <c r="D98" s="18" t="s">
        <v>52</v>
      </c>
      <c r="E98" s="1">
        <v>1946</v>
      </c>
      <c r="F98" s="1">
        <v>10000</v>
      </c>
      <c r="G98" s="10">
        <f>+E98/F98</f>
        <v>0.1946</v>
      </c>
    </row>
    <row r="99" x14ac:dyDescent="0.3">
      <c r="A99" s="26" t="s">
        <v>53</v>
      </c>
      <c r="B99" s="26">
        <v>16337</v>
      </c>
      <c r="C99" s="26">
        <v>60000</v>
      </c>
      <c r="D99" s="12" t="s">
        <v>175</v>
      </c>
      <c r="E99" s="1">
        <v>5550</v>
      </c>
      <c r="F99" s="1">
        <v>20000</v>
      </c>
      <c r="G99" s="10">
        <f>+E99/F99</f>
        <v>0.27750000000000002</v>
      </c>
    </row>
    <row r="100" x14ac:dyDescent="0.3">
      <c r="A100" s="26"/>
      <c r="B100" s="26"/>
      <c r="C100" s="26"/>
      <c r="D100" s="19" t="s">
        <v>154</v>
      </c>
      <c r="E100" s="1">
        <v>8233</v>
      </c>
      <c r="F100" s="1">
        <v>20000</v>
      </c>
      <c r="G100" s="10">
        <f>+E100/F100</f>
        <v>0.41165000000000002</v>
      </c>
    </row>
    <row r="101" x14ac:dyDescent="0.3">
      <c r="A101" s="26"/>
      <c r="B101" s="26"/>
      <c r="C101" s="26"/>
      <c r="D101" s="19" t="s">
        <v>155</v>
      </c>
      <c r="E101" s="1">
        <v>1626</v>
      </c>
      <c r="F101" s="1">
        <v>20000</v>
      </c>
      <c r="G101" s="10">
        <f>+E101/F101</f>
        <v>8.1299999999999997E-2</v>
      </c>
    </row>
    <row r="102" x14ac:dyDescent="0.3">
      <c r="A102" s="27" t="s">
        <v>54</v>
      </c>
      <c r="B102" s="27">
        <v>43323</v>
      </c>
      <c r="C102" s="27">
        <v>210000</v>
      </c>
      <c r="D102" s="12" t="s">
        <v>167</v>
      </c>
      <c r="E102" s="1">
        <v>9993</v>
      </c>
      <c r="F102" s="1">
        <v>30000</v>
      </c>
      <c r="G102" s="10">
        <f>+E102/F102</f>
        <v>0.33310000000000001</v>
      </c>
    </row>
    <row r="103" x14ac:dyDescent="0.3">
      <c r="A103" s="28"/>
      <c r="B103" s="28"/>
      <c r="C103" s="28"/>
      <c r="D103" s="12" t="s">
        <v>166</v>
      </c>
      <c r="E103" s="1">
        <v>6568</v>
      </c>
      <c r="F103" s="1">
        <v>20000</v>
      </c>
      <c r="G103" s="10">
        <f>+E103/F103</f>
        <v>0.32840000000000003</v>
      </c>
    </row>
    <row r="104" x14ac:dyDescent="0.3">
      <c r="A104" s="28"/>
      <c r="B104" s="28"/>
      <c r="C104" s="28"/>
      <c r="D104" s="12" t="s">
        <v>135</v>
      </c>
      <c r="E104" s="1">
        <v>3342</v>
      </c>
      <c r="F104" s="1">
        <v>20000</v>
      </c>
      <c r="G104" s="10">
        <f>+E104/F104</f>
        <v>0.1671</v>
      </c>
    </row>
    <row r="105" x14ac:dyDescent="0.3">
      <c r="A105" s="28"/>
      <c r="B105" s="28"/>
      <c r="C105" s="28"/>
      <c r="D105" s="12" t="s">
        <v>134</v>
      </c>
      <c r="E105" s="1">
        <v>6494</v>
      </c>
      <c r="F105" s="1">
        <v>20000</v>
      </c>
      <c r="G105" s="10">
        <f>+E105/F105</f>
        <v>0.32469999999999999</v>
      </c>
    </row>
    <row r="106" x14ac:dyDescent="0.3">
      <c r="A106" s="28"/>
      <c r="B106" s="28"/>
      <c r="C106" s="28"/>
      <c r="D106" s="12" t="s">
        <v>136</v>
      </c>
      <c r="E106" s="1">
        <v>4370</v>
      </c>
      <c r="F106" s="1">
        <v>20000</v>
      </c>
      <c r="G106" s="10">
        <f>+E106/F106</f>
        <v>0.2185</v>
      </c>
    </row>
    <row r="107" x14ac:dyDescent="0.3">
      <c r="A107" s="28"/>
      <c r="B107" s="28"/>
      <c r="C107" s="28"/>
      <c r="D107" s="12" t="s">
        <v>168</v>
      </c>
      <c r="E107" s="1">
        <v>792</v>
      </c>
      <c r="F107" s="1">
        <v>20000</v>
      </c>
      <c r="G107" s="10">
        <f>+E107/F107</f>
        <v>3.9600000000000003E-2</v>
      </c>
    </row>
    <row r="108" x14ac:dyDescent="0.3">
      <c r="A108" s="28"/>
      <c r="B108" s="28"/>
      <c r="C108" s="28"/>
      <c r="D108" s="12" t="s">
        <v>169</v>
      </c>
      <c r="E108" s="1">
        <v>2384</v>
      </c>
      <c r="F108" s="1">
        <v>20000</v>
      </c>
      <c r="G108" s="10">
        <f>+E108/F108</f>
        <v>0.1192</v>
      </c>
    </row>
    <row r="109" x14ac:dyDescent="0.3">
      <c r="A109" s="28"/>
      <c r="B109" s="28"/>
      <c r="C109" s="28"/>
      <c r="D109" s="12" t="s">
        <v>170</v>
      </c>
      <c r="E109" s="1">
        <v>3664</v>
      </c>
      <c r="F109" s="1">
        <v>20000</v>
      </c>
      <c r="G109" s="10">
        <f>+E109/F109</f>
        <v>0.1832</v>
      </c>
    </row>
    <row r="110" x14ac:dyDescent="0.3">
      <c r="A110" s="28"/>
      <c r="B110" s="28"/>
      <c r="C110" s="28"/>
      <c r="D110" s="12" t="s">
        <v>179</v>
      </c>
      <c r="E110" s="1">
        <v>2195</v>
      </c>
      <c r="F110" s="1">
        <v>20000</v>
      </c>
      <c r="G110" s="10">
        <f>+E110/F110</f>
        <v>0.10975</v>
      </c>
    </row>
    <row r="111" x14ac:dyDescent="0.3">
      <c r="A111" s="29"/>
      <c r="B111" s="29"/>
      <c r="C111" s="29"/>
      <c r="D111" s="12" t="s">
        <v>172</v>
      </c>
      <c r="E111" s="1">
        <v>946</v>
      </c>
      <c r="F111" s="1">
        <v>20000</v>
      </c>
      <c r="G111" s="10">
        <f>+E111/F111</f>
        <v>4.7300000000000002E-2</v>
      </c>
    </row>
    <row r="112" x14ac:dyDescent="0.3">
      <c r="A112" s="16" t="s">
        <v>55</v>
      </c>
      <c r="B112" s="16">
        <v>729</v>
      </c>
      <c r="C112" s="16">
        <v>10000</v>
      </c>
      <c r="D112" s="13" t="s">
        <v>56</v>
      </c>
      <c r="E112" s="1">
        <v>646</v>
      </c>
      <c r="F112" s="1">
        <v>10000</v>
      </c>
      <c r="G112" s="10">
        <f>+E112/F112</f>
        <v>6.4600000000000005E-2</v>
      </c>
    </row>
    <row r="113" x14ac:dyDescent="0.3">
      <c r="A113" s="26" t="s">
        <v>67</v>
      </c>
      <c r="B113" s="26">
        <v>2033</v>
      </c>
      <c r="C113" s="26">
        <v>20000</v>
      </c>
      <c r="D113" s="13" t="s">
        <v>124</v>
      </c>
      <c r="E113" s="1">
        <v>2063</v>
      </c>
      <c r="F113" s="1">
        <v>10000</v>
      </c>
      <c r="G113" s="10">
        <f>+E113/F113</f>
        <v>0.20630000000000001</v>
      </c>
    </row>
    <row r="114" x14ac:dyDescent="0.3">
      <c r="A114" s="26"/>
      <c r="B114" s="26"/>
      <c r="C114" s="26"/>
      <c r="D114" s="12" t="s">
        <v>185</v>
      </c>
      <c r="E114" s="1">
        <v>798</v>
      </c>
      <c r="F114" s="1">
        <v>10000</v>
      </c>
      <c r="G114" s="10">
        <f>+E114/F114</f>
        <v>7.9799999999999996E-2</v>
      </c>
    </row>
    <row r="115" x14ac:dyDescent="0.3">
      <c r="A115" s="16" t="s">
        <v>57</v>
      </c>
      <c r="B115" s="16">
        <v>1506</v>
      </c>
      <c r="C115" s="16">
        <v>10000</v>
      </c>
      <c r="D115" s="13" t="s">
        <v>58</v>
      </c>
      <c r="E115" s="1">
        <v>1824</v>
      </c>
      <c r="F115" s="1">
        <v>10000</v>
      </c>
      <c r="G115" s="10">
        <f>+E115/F115</f>
        <v>0.18240000000000001</v>
      </c>
    </row>
    <row r="116" x14ac:dyDescent="0.3">
      <c r="A116" s="27" t="s">
        <v>68</v>
      </c>
      <c r="B116" s="27">
        <v>58739</v>
      </c>
      <c r="C116" s="27">
        <v>180000</v>
      </c>
      <c r="D116" s="12" t="s">
        <v>142</v>
      </c>
      <c r="E116" s="1">
        <v>12572</v>
      </c>
      <c r="F116" s="1">
        <v>30000</v>
      </c>
      <c r="G116" s="10">
        <f>+E116/F116</f>
        <v>0.41906666666666664</v>
      </c>
    </row>
    <row r="117" x14ac:dyDescent="0.3">
      <c r="A117" s="28"/>
      <c r="B117" s="28"/>
      <c r="C117" s="28"/>
      <c r="D117" s="12" t="s">
        <v>159</v>
      </c>
      <c r="E117" s="1">
        <v>13238</v>
      </c>
      <c r="F117" s="1">
        <v>30000</v>
      </c>
      <c r="G117" s="10">
        <f>+E117/F117</f>
        <v>0.44126666666666664</v>
      </c>
    </row>
    <row r="118" x14ac:dyDescent="0.3">
      <c r="A118" s="28"/>
      <c r="B118" s="28"/>
      <c r="C118" s="28"/>
      <c r="D118" s="12" t="s">
        <v>143</v>
      </c>
      <c r="E118" s="1">
        <v>12496</v>
      </c>
      <c r="F118" s="1">
        <v>30000</v>
      </c>
      <c r="G118" s="10">
        <f>+E118/F118</f>
        <v>0.41653333333333331</v>
      </c>
    </row>
    <row r="119" x14ac:dyDescent="0.3">
      <c r="A119" s="28"/>
      <c r="B119" s="28"/>
      <c r="C119" s="28"/>
      <c r="D119" s="12" t="s">
        <v>161</v>
      </c>
      <c r="E119" s="1">
        <v>4130</v>
      </c>
      <c r="F119" s="1">
        <v>30000</v>
      </c>
      <c r="G119" s="10">
        <f>+E119/F119</f>
        <v>0.13766666666666666</v>
      </c>
    </row>
    <row r="120" x14ac:dyDescent="0.3">
      <c r="A120" s="28"/>
      <c r="B120" s="28"/>
      <c r="C120" s="28"/>
      <c r="D120" s="12" t="s">
        <v>160</v>
      </c>
      <c r="E120" s="1">
        <v>470</v>
      </c>
      <c r="F120" s="1">
        <v>20000</v>
      </c>
      <c r="G120" s="10">
        <f>+E120/F120</f>
        <v>2.35E-2</v>
      </c>
    </row>
    <row r="121" x14ac:dyDescent="0.3">
      <c r="A121" s="28"/>
      <c r="B121" s="28"/>
      <c r="C121" s="28"/>
      <c r="D121" s="12" t="s">
        <v>177</v>
      </c>
      <c r="E121" s="1">
        <v>522</v>
      </c>
      <c r="F121" s="1">
        <v>20000</v>
      </c>
      <c r="G121" s="10">
        <f>+E121/F121</f>
        <v>2.6100000000000002E-2</v>
      </c>
    </row>
    <row r="122" x14ac:dyDescent="0.3">
      <c r="A122" s="29"/>
      <c r="B122" s="29"/>
      <c r="C122" s="29"/>
      <c r="D122" s="12" t="s">
        <v>133</v>
      </c>
      <c r="E122" s="1">
        <v>6599</v>
      </c>
      <c r="F122" s="1">
        <v>20000</v>
      </c>
      <c r="G122" s="10">
        <f>+E122/F122</f>
        <v>0.32995000000000002</v>
      </c>
    </row>
    <row r="123" x14ac:dyDescent="0.3">
      <c r="A123" s="27" t="s">
        <v>59</v>
      </c>
      <c r="B123" s="27">
        <v>119738</v>
      </c>
      <c r="C123" s="27">
        <v>410000</v>
      </c>
      <c r="D123" s="12" t="s">
        <v>62</v>
      </c>
      <c r="E123" s="1">
        <v>10484</v>
      </c>
      <c r="F123" s="1">
        <v>100000</v>
      </c>
      <c r="G123" s="10">
        <f>+E123/F123</f>
        <v>0.10484</v>
      </c>
    </row>
    <row r="124" x14ac:dyDescent="0.3">
      <c r="A124" s="28"/>
      <c r="B124" s="28"/>
      <c r="C124" s="28"/>
      <c r="D124" s="12" t="s">
        <v>117</v>
      </c>
      <c r="E124" s="1">
        <v>12746</v>
      </c>
      <c r="F124" s="1">
        <v>40000</v>
      </c>
      <c r="G124" s="10">
        <f>+E124/F124</f>
        <v>0.31864999999999999</v>
      </c>
    </row>
    <row r="125" x14ac:dyDescent="0.3">
      <c r="A125" s="28"/>
      <c r="B125" s="28"/>
      <c r="C125" s="28"/>
      <c r="D125" s="12" t="s">
        <v>121</v>
      </c>
      <c r="E125" s="1">
        <v>5353</v>
      </c>
      <c r="F125" s="1">
        <v>30000</v>
      </c>
      <c r="G125" s="10">
        <f>+E125/F125</f>
        <v>0.17843333333333333</v>
      </c>
    </row>
    <row r="126" x14ac:dyDescent="0.3">
      <c r="A126" s="28"/>
      <c r="B126" s="28"/>
      <c r="C126" s="28"/>
      <c r="D126" s="12" t="s">
        <v>108</v>
      </c>
      <c r="E126" s="1">
        <v>11245</v>
      </c>
      <c r="F126" s="1">
        <v>30000</v>
      </c>
      <c r="G126" s="10">
        <f>+E126/F126</f>
        <v>0.37483333333333335</v>
      </c>
    </row>
    <row r="127" x14ac:dyDescent="0.3">
      <c r="A127" s="28"/>
      <c r="B127" s="28"/>
      <c r="C127" s="28"/>
      <c r="D127" s="12" t="s">
        <v>118</v>
      </c>
      <c r="E127" s="1">
        <v>10630</v>
      </c>
      <c r="F127" s="1">
        <v>30000</v>
      </c>
      <c r="G127" s="10">
        <f>+E127/F127</f>
        <v>0.35433333333333333</v>
      </c>
    </row>
    <row r="128" x14ac:dyDescent="0.3">
      <c r="A128" s="28"/>
      <c r="B128" s="28"/>
      <c r="C128" s="28"/>
      <c r="D128" s="12" t="s">
        <v>101</v>
      </c>
      <c r="E128" s="1">
        <v>11188</v>
      </c>
      <c r="F128" s="1">
        <v>30000</v>
      </c>
      <c r="G128" s="10">
        <f>+E128/F128</f>
        <v>0.37293333333333334</v>
      </c>
    </row>
    <row r="129" x14ac:dyDescent="0.3">
      <c r="A129" s="28"/>
      <c r="B129" s="28"/>
      <c r="C129" s="28"/>
      <c r="D129" s="12" t="s">
        <v>115</v>
      </c>
      <c r="E129" s="1">
        <v>12786</v>
      </c>
      <c r="F129" s="1">
        <v>30000</v>
      </c>
      <c r="G129" s="10">
        <f>+E129/F129</f>
        <v>0.42620000000000002</v>
      </c>
    </row>
    <row r="130" x14ac:dyDescent="0.3">
      <c r="A130" s="28"/>
      <c r="B130" s="28"/>
      <c r="C130" s="28"/>
      <c r="D130" s="12" t="s">
        <v>90</v>
      </c>
      <c r="E130" s="1">
        <v>9917</v>
      </c>
      <c r="F130" s="1">
        <v>20000</v>
      </c>
      <c r="G130" s="10">
        <f>+E130/F130</f>
        <v>0.49585000000000001</v>
      </c>
    </row>
    <row r="131" x14ac:dyDescent="0.3">
      <c r="A131" s="28"/>
      <c r="B131" s="28"/>
      <c r="C131" s="28"/>
      <c r="D131" s="12" t="s">
        <v>60</v>
      </c>
      <c r="E131" s="1">
        <v>8702</v>
      </c>
      <c r="F131" s="1">
        <v>20000</v>
      </c>
      <c r="G131" s="10">
        <f>+E131/F131</f>
        <v>0.43509999999999999</v>
      </c>
    </row>
    <row r="132" x14ac:dyDescent="0.3">
      <c r="A132" s="28"/>
      <c r="B132" s="28"/>
      <c r="C132" s="28"/>
      <c r="D132" s="12" t="s">
        <v>183</v>
      </c>
      <c r="E132" s="1">
        <v>0</v>
      </c>
      <c r="F132" s="1">
        <v>20000</v>
      </c>
      <c r="G132" s="10">
        <f>+E132/F132</f>
        <v>0</v>
      </c>
    </row>
    <row r="133" x14ac:dyDescent="0.3">
      <c r="A133" s="28"/>
      <c r="B133" s="28"/>
      <c r="C133" s="28"/>
      <c r="D133" s="12" t="s">
        <v>61</v>
      </c>
      <c r="E133" s="1">
        <v>8734</v>
      </c>
      <c r="F133" s="1">
        <v>20000</v>
      </c>
      <c r="G133" s="10">
        <f>+E133/F133</f>
        <v>0.43669999999999998</v>
      </c>
    </row>
    <row r="134" x14ac:dyDescent="0.3">
      <c r="A134" s="28"/>
      <c r="B134" s="28"/>
      <c r="C134" s="28"/>
      <c r="D134" s="12" t="s">
        <v>162</v>
      </c>
      <c r="E134" s="1">
        <v>2410</v>
      </c>
      <c r="F134" s="1">
        <v>20000</v>
      </c>
      <c r="G134" s="10">
        <f>+E134/F134</f>
        <v>0.1205</v>
      </c>
    </row>
    <row r="135" x14ac:dyDescent="0.3">
      <c r="A135" s="29"/>
      <c r="B135" s="29"/>
      <c r="C135" s="29"/>
      <c r="D135" s="12" t="s">
        <v>116</v>
      </c>
      <c r="E135" s="1">
        <v>8391</v>
      </c>
      <c r="F135" s="1">
        <v>20000</v>
      </c>
      <c r="G135" s="10">
        <f>+E135/F135</f>
        <v>0.41954999999999998</v>
      </c>
    </row>
    <row r="136" x14ac:dyDescent="0.3">
      <c r="A136" s="16" t="s">
        <v>70</v>
      </c>
      <c r="B136" s="16">
        <v>629</v>
      </c>
      <c r="C136" s="16">
        <v>10000</v>
      </c>
      <c r="D136" s="12" t="s">
        <v>125</v>
      </c>
      <c r="E136" s="1">
        <v>909</v>
      </c>
      <c r="F136" s="1">
        <v>10000</v>
      </c>
      <c r="G136" s="10">
        <f>+E136/F136</f>
        <v>9.0899999999999995E-2</v>
      </c>
    </row>
    <row r="137" x14ac:dyDescent="0.3">
      <c r="A137" s="17" t="s">
        <v>73</v>
      </c>
      <c r="B137" s="17">
        <v>1181</v>
      </c>
      <c r="C137" s="16">
        <v>10000</v>
      </c>
      <c r="D137" s="11" t="s">
        <v>74</v>
      </c>
      <c r="E137" s="1">
        <v>1731</v>
      </c>
      <c r="F137" s="1">
        <v>10000</v>
      </c>
      <c r="G137" s="10">
        <f>+E137/F137</f>
        <v>0.1731</v>
      </c>
    </row>
    <row r="138" x14ac:dyDescent="0.3">
      <c r="A138" s="1" t="s">
        <v>63</v>
      </c>
      <c r="B138" s="1">
        <v>6</v>
      </c>
      <c r="C138" s="16">
        <v>10000</v>
      </c>
      <c r="D138" s="3" t="s">
        <v>64</v>
      </c>
      <c r="E138" s="1">
        <v>1</v>
      </c>
      <c r="F138" s="1">
        <v>10000</v>
      </c>
      <c r="G138" s="10">
        <f>+E138/F138</f>
        <v>1E-4</v>
      </c>
    </row>
    <row r="139" x14ac:dyDescent="0.3">
      <c r="A139" s="35" t="s">
        <v>78</v>
      </c>
      <c r="B139" s="35">
        <v>13004</v>
      </c>
      <c r="C139" s="35">
        <v>40000</v>
      </c>
      <c r="D139" s="3" t="s">
        <v>122</v>
      </c>
      <c r="E139" s="1">
        <v>3490</v>
      </c>
      <c r="F139" s="1">
        <v>20000</v>
      </c>
      <c r="G139" s="10">
        <f>+E139/F139</f>
        <v>0.17449999999999999</v>
      </c>
    </row>
    <row r="140" x14ac:dyDescent="0.3">
      <c r="A140" s="31"/>
      <c r="B140" s="31"/>
      <c r="C140" s="31"/>
      <c r="D140" s="11" t="s">
        <v>150</v>
      </c>
      <c r="E140" s="1">
        <v>8199</v>
      </c>
      <c r="F140" s="1">
        <v>20000</v>
      </c>
      <c r="G140" s="10">
        <f>+E140/F140</f>
        <v>0.40994999999999998</v>
      </c>
    </row>
    <row r="141" x14ac:dyDescent="0.3">
      <c r="A141" s="1" t="s">
        <v>81</v>
      </c>
      <c r="B141" s="1">
        <v>471</v>
      </c>
      <c r="C141" s="16">
        <v>10000</v>
      </c>
      <c r="D141" s="3" t="s">
        <v>82</v>
      </c>
      <c r="E141" s="1">
        <v>129</v>
      </c>
      <c r="F141" s="1">
        <v>10000</v>
      </c>
      <c r="G141" s="10">
        <f>+E141/F141</f>
        <v>1.29E-2</v>
      </c>
    </row>
    <row r="142" x14ac:dyDescent="0.3">
      <c r="A142" s="21" t="s">
        <v>65</v>
      </c>
      <c r="B142" s="15">
        <v>8305</v>
      </c>
      <c r="C142" s="21">
        <v>20000</v>
      </c>
      <c r="D142" s="13" t="s">
        <v>66</v>
      </c>
      <c r="E142" s="1">
        <v>7702</v>
      </c>
      <c r="F142" s="1">
        <v>20000</v>
      </c>
      <c r="G142" s="10">
        <f>+E142/F142</f>
        <v>0.3851</v>
      </c>
    </row>
    <row r="143" x14ac:dyDescent="0.3">
      <c r="A143" s="16" t="s">
        <v>129</v>
      </c>
      <c r="B143" s="16">
        <v>797</v>
      </c>
      <c r="C143" s="16">
        <v>10000</v>
      </c>
      <c r="D143" s="13" t="s">
        <v>128</v>
      </c>
      <c r="E143" s="1">
        <v>1130</v>
      </c>
      <c r="F143" s="1">
        <v>10000</v>
      </c>
      <c r="G143" s="10">
        <f>+E143/F143</f>
        <v>0.113</v>
      </c>
    </row>
    <row r="144" x14ac:dyDescent="0.3">
      <c r="A144" s="22" t="s">
        <v>186</v>
      </c>
      <c r="B144" s="1">
        <v>5014</v>
      </c>
      <c r="C144" s="1">
        <v>30000</v>
      </c>
      <c r="D144" s="12" t="s">
        <v>156</v>
      </c>
      <c r="E144" s="1">
        <v>5734</v>
      </c>
      <c r="F144" s="1">
        <v>30000</v>
      </c>
      <c r="G144" s="10">
        <f>+E144/F144</f>
        <v>0.19113333333333332</v>
      </c>
    </row>
    <row r="145" x14ac:dyDescent="0.3">
      <c r="A145" s="35" t="s">
        <v>188</v>
      </c>
      <c r="B145" s="35">
        <v>3905</v>
      </c>
      <c r="C145" s="35">
        <v>30000</v>
      </c>
      <c r="D145" s="3" t="s">
        <v>47</v>
      </c>
      <c r="E145" s="1">
        <v>2067</v>
      </c>
      <c r="F145" s="1">
        <v>20000</v>
      </c>
      <c r="G145" s="10">
        <f>+E145/F145</f>
        <v>0.10335</v>
      </c>
    </row>
    <row r="146" x14ac:dyDescent="0.3">
      <c r="A146" s="46"/>
      <c r="B146" s="46"/>
      <c r="C146" s="46"/>
      <c r="D146" s="3" t="s">
        <v>48</v>
      </c>
      <c r="E146" s="1">
        <v>2297</v>
      </c>
      <c r="F146" s="1">
        <v>10000</v>
      </c>
      <c r="G146" s="10">
        <f>+E146/F146</f>
        <v>0.22969999999999999</v>
      </c>
    </row>
    <row r="147" x14ac:dyDescent="0.3">
      <c r="A147" s="16" t="s">
        <v>39</v>
      </c>
      <c r="B147" s="20">
        <v>0</v>
      </c>
      <c r="C147" s="16">
        <v>1000</v>
      </c>
      <c r="D147" s="13" t="s">
        <v>40</v>
      </c>
      <c r="E147" s="1">
        <v>19</v>
      </c>
      <c r="F147" s="1">
        <v>1000</v>
      </c>
      <c r="G147" s="10">
        <f>+E147/F147</f>
        <v>1.9E-2</v>
      </c>
    </row>
    <row r="148" x14ac:dyDescent="0.3">
      <c r="A148" s="1" t="s">
        <v>71</v>
      </c>
      <c r="B148" s="1">
        <v>71</v>
      </c>
      <c r="C148" s="1">
        <v>1000</v>
      </c>
      <c r="D148" s="3" t="s">
        <v>72</v>
      </c>
      <c r="E148" s="1">
        <v>116</v>
      </c>
      <c r="F148" s="1">
        <v>1000</v>
      </c>
      <c r="G148" s="10">
        <f>+E148/F148</f>
        <v>0.11600000000000001</v>
      </c>
    </row>
    <row r="149" x14ac:dyDescent="0.3">
      <c r="A149" s="1" t="s">
        <v>75</v>
      </c>
      <c r="B149" s="1">
        <v>228</v>
      </c>
      <c r="C149" s="1">
        <v>1000</v>
      </c>
      <c r="D149" s="3" t="s">
        <v>76</v>
      </c>
      <c r="E149" s="1">
        <v>199</v>
      </c>
      <c r="F149" s="1">
        <v>1000</v>
      </c>
      <c r="G149" s="10">
        <f>+E149/F149</f>
        <v>0.19900000000000001</v>
      </c>
    </row>
    <row r="150" x14ac:dyDescent="0.3">
      <c r="A150" s="1" t="s">
        <v>86</v>
      </c>
      <c r="B150" s="1">
        <v>80</v>
      </c>
      <c r="C150" s="1">
        <v>1000</v>
      </c>
      <c r="D150" s="3" t="s">
        <v>77</v>
      </c>
      <c r="E150" s="1">
        <v>70</v>
      </c>
      <c r="F150" s="1">
        <v>1000</v>
      </c>
      <c r="G150" s="10">
        <f>+E150/F150</f>
        <v>7.0000000000000007E-2</v>
      </c>
    </row>
    <row r="151" x14ac:dyDescent="0.3">
      <c r="A151" s="1" t="s">
        <v>79</v>
      </c>
      <c r="B151" s="1">
        <v>103</v>
      </c>
      <c r="C151" s="1">
        <v>1000</v>
      </c>
      <c r="D151" s="3" t="s">
        <v>80</v>
      </c>
      <c r="E151" s="1">
        <v>80</v>
      </c>
      <c r="F151" s="1">
        <v>1000</v>
      </c>
      <c r="G151" s="10">
        <f>+E151/F151</f>
        <v>0.08</v>
      </c>
    </row>
    <row r="152" x14ac:dyDescent="0.3">
      <c r="A152" s="1" t="s">
        <v>165</v>
      </c>
      <c r="B152" s="1">
        <v>47</v>
      </c>
      <c r="C152" s="1">
        <v>1000</v>
      </c>
      <c r="D152" s="3" t="s">
        <v>69</v>
      </c>
      <c r="E152" s="1">
        <v>79</v>
      </c>
      <c r="F152" s="1">
        <v>1000</v>
      </c>
      <c r="G152" s="10">
        <f>+E152/F152</f>
        <v>7.9000000000000001E-2</v>
      </c>
    </row>
  </sheetData>
  <mergeCells count="61">
    <mergeCell ref="C145:C146"/>
    <mergeCell ref="B145:B146"/>
    <mergeCell ref="A145:A146"/>
    <mergeCell ref="E2:G2"/>
    <mergeCell ref="A72:A75"/>
    <mergeCell ref="C24:C29"/>
    <mergeCell ref="A42:A54"/>
    <mergeCell ref="A63:A67"/>
    <mergeCell ref="A55:A62"/>
    <mergeCell ref="B24:B29"/>
    <mergeCell ref="A24:A29"/>
    <mergeCell ref="A68:A71"/>
    <mergeCell ref="A3:A12"/>
    <mergeCell ref="B3:B12"/>
    <mergeCell ref="A13:A23"/>
    <mergeCell ref="C3:C12"/>
    <mergeCell ref="A30:A41"/>
    <mergeCell ref="C30:C41"/>
    <mergeCell ref="B30:B41"/>
    <mergeCell ref="B13:B23"/>
    <mergeCell ref="C13:C23"/>
    <mergeCell ref="A76:A87"/>
    <mergeCell ref="C76:C87"/>
    <mergeCell ref="B76:B87"/>
    <mergeCell ref="C123:C135"/>
    <mergeCell ref="B139:B140"/>
    <mergeCell ref="C116:C122"/>
    <mergeCell ref="B116:B122"/>
    <mergeCell ref="C139:C140"/>
    <mergeCell ref="C113:C114"/>
    <mergeCell ref="B113:B114"/>
    <mergeCell ref="A139:A140"/>
    <mergeCell ref="A88:A89"/>
    <mergeCell ref="A94:A97"/>
    <mergeCell ref="A116:A122"/>
    <mergeCell ref="A99:A101"/>
    <mergeCell ref="A113:A114"/>
    <mergeCell ref="A91:A93"/>
    <mergeCell ref="A123:A135"/>
    <mergeCell ref="A102:A111"/>
    <mergeCell ref="B123:B135"/>
    <mergeCell ref="C102:C111"/>
    <mergeCell ref="B102:B111"/>
    <mergeCell ref="B88:B89"/>
    <mergeCell ref="B99:B101"/>
    <mergeCell ref="C99:C101"/>
    <mergeCell ref="C94:C97"/>
    <mergeCell ref="B94:B97"/>
    <mergeCell ref="C91:C93"/>
    <mergeCell ref="B91:B93"/>
    <mergeCell ref="C55:C62"/>
    <mergeCell ref="C42:C54"/>
    <mergeCell ref="C63:C67"/>
    <mergeCell ref="C68:C71"/>
    <mergeCell ref="B42:B54"/>
    <mergeCell ref="B63:B67"/>
    <mergeCell ref="B55:B62"/>
    <mergeCell ref="C72:C75"/>
    <mergeCell ref="B68:B71"/>
    <mergeCell ref="B72:B75"/>
    <mergeCell ref="C88:C89"/>
  </mergeCells>
  <phoneticPr fontId="19" type="noConversion"/>
  <conditionalFormatting sqref="G3:G152">
    <cfRule type="cellIs" dxfId="811" priority="1212" operator="greaterThanOrEqual">
      <formula>0.7</formula>
    </cfRule>
    <cfRule type="cellIs" dxfId="810" priority="1213" operator="lessThan">
      <formula>0.5999999999</formula>
    </cfRule>
    <cfRule type="cellIs" dxfId="809" priority="1211" operator="between">
      <formula>0.6</formula>
      <formula>0.699999999999999</formula>
    </cfRule>
  </conditionalFormatting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3B62-E3C5-4908-A4DD-9161F7663282}">
  <dimension ref="A1"/>
  <sheetViews>
    <sheetView workbookViewId="0">
      <selection activeCell="E18" sqref="E18"/>
    </sheetView>
  </sheetViews>
  <sheetFormatPr baseColWidth="10" defaultColWidth="12.109375" defaultRowHeight="14.4" x14ac:dyDescent="0.3"/>
  <cols>
    <col min="2" max="2" width="24.88671875" customWidth="1"/>
  </cols>
  <sheetData/>
  <phoneticPr fontId="19" type="noConversion"/>
  <pageMargins left="0.7" right="0.7" top="0.75" bottom="0.75" header="0.3" footer="0.3"/>
  <pageSetup paperSize="1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09AA3EC87227419D65D82547DBA7B5" ma:contentTypeVersion="3" ma:contentTypeDescription="Crear nuevo documento." ma:contentTypeScope="" ma:versionID="e5a9a295d462e8f3c440bba6d003b360">
  <xsd:schema xmlns:xsd="http://www.w3.org/2001/XMLSchema" xmlns:xs="http://www.w3.org/2001/XMLSchema" xmlns:p="http://schemas.microsoft.com/office/2006/metadata/properties" xmlns:ns3="497c79cb-8be7-4bdf-93a1-7ef2c662b292" targetNamespace="http://schemas.microsoft.com/office/2006/metadata/properties" ma:root="true" ma:fieldsID="9ea5cedef1e03983269763af372e43a7" ns3:_="">
    <xsd:import namespace="497c79cb-8be7-4bdf-93a1-7ef2c662b2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c79cb-8be7-4bdf-93a1-7ef2c662b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A5F3FF-81BB-49CA-8083-F4065899ED7E}">
  <ds:schemaRefs>
    <ds:schemaRef ds:uri="497c79cb-8be7-4bdf-93a1-7ef2c662b292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32F5E45-27CA-48B2-8848-0C96BEC1B4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7c79cb-8be7-4bdf-93a1-7ef2c662b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872EE4-B53A-434C-A925-549D06E971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BW 2026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Ponce Ilarriaga</dc:creator>
  <cp:lastModifiedBy>Daniel Correo</cp:lastModifiedBy>
  <dcterms:created xsi:type="dcterms:W3CDTF">2020-03-17T15:02:37Z</dcterms:created>
  <dcterms:modified xsi:type="dcterms:W3CDTF">2026-10-19T12:26:06Z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0x010100A609AA3EC87227419D65D82547DBA7B5</vt:lpwstr>
  </property>
</Properties>
</file>